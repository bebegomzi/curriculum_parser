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er\Desktop\2026\편성표\"/>
    </mc:Choice>
  </mc:AlternateContent>
  <xr:revisionPtr revIDLastSave="0" documentId="13_ncr:1_{14CB14DE-90B8-40B9-BF23-79B818A28134}" xr6:coauthVersionLast="47" xr6:coauthVersionMax="47" xr10:uidLastSave="{00000000-0000-0000-0000-000000000000}"/>
  <bookViews>
    <workbookView xWindow="-28920" yWindow="-120" windowWidth="29040" windowHeight="15720" activeTab="2" xr2:uid="{00000000-000D-0000-FFFF-FFFF00000000}"/>
  </bookViews>
  <sheets>
    <sheet name="2026 전학년" sheetId="40" r:id="rId1"/>
    <sheet name="2026 입학생 3개년(1학년)" sheetId="41" r:id="rId2"/>
    <sheet name="2026 입학생 3개년 변경후(1학년)" sheetId="42" r:id="rId3"/>
    <sheet name="2025 입학생 3개년(2학년)" sheetId="23" r:id="rId4"/>
    <sheet name="2024 입학생 3개년(3학년)" sheetId="38" r:id="rId5"/>
    <sheet name="숨김" sheetId="30" state="hidden" r:id="rId6"/>
  </sheets>
  <definedNames>
    <definedName name="_xlnm._FilterDatabase" localSheetId="4" hidden="1">'2024 입학생 3개년(3학년)'!$A$1:$P$75</definedName>
    <definedName name="_xlnm._FilterDatabase" localSheetId="0" hidden="1">'2026 전학년'!$A$1:$O$98</definedName>
    <definedName name="_xlnm._FilterDatabase" localSheetId="5" hidden="1">숨김!$B$2:$E$233</definedName>
    <definedName name="_xlnm.Print_Area" localSheetId="4">'2024 입학생 3개년(3학년)'!$A$1:$P$75</definedName>
    <definedName name="_xlnm.Print_Area" localSheetId="3">'2025 입학생 3개년(2학년)'!$A$1:$O$104</definedName>
    <definedName name="_xlnm.Print_Area" localSheetId="1">'2026 입학생 3개년(1학년)'!$A$1:$O$104</definedName>
    <definedName name="_xlnm.Print_Area" localSheetId="0">'2026 전학년'!$A$1:$O$98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27" roundtripDataChecksum="2SNuDiRJvWB4p3YKtYh8EdjhweEzuwJVBfhoMQHJjis="/>
    </ext>
  </extLst>
</workbook>
</file>

<file path=xl/calcChain.xml><?xml version="1.0" encoding="utf-8"?>
<calcChain xmlns="http://schemas.openxmlformats.org/spreadsheetml/2006/main">
  <c r="E64" i="42" l="1"/>
  <c r="E63" i="42"/>
  <c r="M103" i="42"/>
  <c r="L101" i="42"/>
  <c r="K101" i="42"/>
  <c r="J101" i="42"/>
  <c r="I101" i="42"/>
  <c r="H101" i="42"/>
  <c r="G101" i="42"/>
  <c r="O100" i="42"/>
  <c r="E100" i="42"/>
  <c r="C100" i="42"/>
  <c r="O99" i="42"/>
  <c r="C99" i="42"/>
  <c r="O98" i="42"/>
  <c r="M98" i="42"/>
  <c r="E98" i="42"/>
  <c r="C98" i="42"/>
  <c r="O97" i="42"/>
  <c r="C97" i="42"/>
  <c r="O96" i="42"/>
  <c r="M96" i="42"/>
  <c r="C96" i="42"/>
  <c r="O95" i="42"/>
  <c r="E95" i="42"/>
  <c r="C95" i="42"/>
  <c r="O94" i="42"/>
  <c r="E94" i="42"/>
  <c r="C94" i="42"/>
  <c r="O93" i="42"/>
  <c r="E93" i="42"/>
  <c r="C93" i="42"/>
  <c r="O92" i="42"/>
  <c r="E92" i="42"/>
  <c r="C92" i="42"/>
  <c r="O91" i="42"/>
  <c r="E91" i="42"/>
  <c r="C91" i="42"/>
  <c r="O90" i="42"/>
  <c r="E90" i="42"/>
  <c r="C90" i="42"/>
  <c r="O89" i="42"/>
  <c r="E89" i="42"/>
  <c r="C89" i="42"/>
  <c r="O88" i="42"/>
  <c r="M88" i="42"/>
  <c r="E88" i="42"/>
  <c r="O87" i="42"/>
  <c r="E87" i="42"/>
  <c r="C87" i="42"/>
  <c r="O86" i="42"/>
  <c r="E86" i="42"/>
  <c r="C86" i="42"/>
  <c r="O85" i="42"/>
  <c r="E85" i="42"/>
  <c r="C85" i="42"/>
  <c r="O84" i="42"/>
  <c r="E84" i="42"/>
  <c r="C84" i="42"/>
  <c r="O83" i="42"/>
  <c r="E83" i="42"/>
  <c r="C83" i="42"/>
  <c r="O82" i="42"/>
  <c r="M82" i="42"/>
  <c r="E82" i="42"/>
  <c r="C82" i="42"/>
  <c r="O81" i="42"/>
  <c r="E81" i="42"/>
  <c r="C81" i="42"/>
  <c r="O80" i="42"/>
  <c r="E80" i="42"/>
  <c r="C80" i="42"/>
  <c r="O79" i="42"/>
  <c r="M79" i="42"/>
  <c r="E79" i="42"/>
  <c r="C79" i="42"/>
  <c r="O78" i="42"/>
  <c r="E78" i="42"/>
  <c r="C78" i="42"/>
  <c r="O77" i="42"/>
  <c r="M77" i="42"/>
  <c r="E77" i="42"/>
  <c r="C77" i="42"/>
  <c r="O76" i="42"/>
  <c r="E76" i="42"/>
  <c r="C76" i="42"/>
  <c r="O75" i="42"/>
  <c r="E75" i="42"/>
  <c r="C75" i="42"/>
  <c r="O74" i="42"/>
  <c r="E74" i="42"/>
  <c r="C74" i="42"/>
  <c r="O73" i="42"/>
  <c r="E73" i="42"/>
  <c r="C73" i="42"/>
  <c r="O72" i="42"/>
  <c r="E72" i="42"/>
  <c r="O70" i="42"/>
  <c r="E70" i="42"/>
  <c r="C70" i="42"/>
  <c r="O69" i="42"/>
  <c r="E69" i="42"/>
  <c r="C69" i="42"/>
  <c r="O68" i="42"/>
  <c r="E68" i="42"/>
  <c r="C68" i="42"/>
  <c r="O67" i="42"/>
  <c r="E67" i="42"/>
  <c r="C67" i="42"/>
  <c r="O66" i="42"/>
  <c r="E66" i="42"/>
  <c r="C66" i="42"/>
  <c r="O65" i="42"/>
  <c r="E65" i="42"/>
  <c r="C65" i="42"/>
  <c r="O63" i="42"/>
  <c r="C63" i="42"/>
  <c r="O62" i="42"/>
  <c r="M62" i="42"/>
  <c r="E62" i="42"/>
  <c r="C62" i="42"/>
  <c r="O61" i="42"/>
  <c r="E61" i="42"/>
  <c r="C61" i="42"/>
  <c r="O60" i="42"/>
  <c r="M60" i="42"/>
  <c r="E60" i="42"/>
  <c r="C60" i="42"/>
  <c r="O59" i="42"/>
  <c r="E59" i="42"/>
  <c r="C59" i="42"/>
  <c r="O58" i="42"/>
  <c r="M58" i="42"/>
  <c r="E58" i="42"/>
  <c r="C58" i="42"/>
  <c r="O57" i="42"/>
  <c r="E57" i="42"/>
  <c r="C57" i="42"/>
  <c r="O56" i="42"/>
  <c r="E56" i="42"/>
  <c r="C56" i="42"/>
  <c r="O55" i="42"/>
  <c r="E55" i="42"/>
  <c r="C55" i="42"/>
  <c r="O54" i="42"/>
  <c r="E54" i="42"/>
  <c r="C54" i="42"/>
  <c r="O53" i="42"/>
  <c r="E53" i="42"/>
  <c r="O51" i="42"/>
  <c r="E51" i="42"/>
  <c r="C51" i="42"/>
  <c r="O50" i="42"/>
  <c r="E50" i="42"/>
  <c r="C50" i="42"/>
  <c r="O49" i="42"/>
  <c r="E49" i="42"/>
  <c r="C49" i="42"/>
  <c r="O48" i="42"/>
  <c r="E48" i="42"/>
  <c r="C48" i="42"/>
  <c r="O47" i="42"/>
  <c r="M47" i="42"/>
  <c r="E47" i="42"/>
  <c r="C47" i="42"/>
  <c r="O46" i="42"/>
  <c r="E46" i="42"/>
  <c r="C46" i="42"/>
  <c r="O45" i="42"/>
  <c r="E45" i="42"/>
  <c r="C45" i="42"/>
  <c r="O44" i="42"/>
  <c r="E44" i="42"/>
  <c r="C44" i="42"/>
  <c r="O43" i="42"/>
  <c r="E43" i="42"/>
  <c r="C43" i="42"/>
  <c r="O42" i="42"/>
  <c r="E42" i="42"/>
  <c r="C42" i="42"/>
  <c r="O41" i="42"/>
  <c r="E41" i="42"/>
  <c r="C41" i="42"/>
  <c r="O40" i="42"/>
  <c r="E40" i="42"/>
  <c r="C40" i="42"/>
  <c r="O39" i="42"/>
  <c r="E39" i="42"/>
  <c r="C39" i="42"/>
  <c r="O38" i="42"/>
  <c r="M38" i="42"/>
  <c r="E38" i="42"/>
  <c r="C38" i="42"/>
  <c r="L37" i="42"/>
  <c r="K37" i="42"/>
  <c r="J37" i="42"/>
  <c r="I37" i="42"/>
  <c r="H37" i="42"/>
  <c r="G37" i="42"/>
  <c r="G102" i="42" s="1"/>
  <c r="M34" i="42"/>
  <c r="O33" i="42"/>
  <c r="E33" i="42"/>
  <c r="C33" i="42"/>
  <c r="O32" i="42"/>
  <c r="E32" i="42"/>
  <c r="C32" i="42"/>
  <c r="O31" i="42"/>
  <c r="E31" i="42"/>
  <c r="C31" i="42"/>
  <c r="O30" i="42"/>
  <c r="E30" i="42"/>
  <c r="C30" i="42"/>
  <c r="O29" i="42"/>
  <c r="E29" i="42"/>
  <c r="C29" i="42"/>
  <c r="O28" i="42"/>
  <c r="M28" i="42"/>
  <c r="E28" i="42"/>
  <c r="C28" i="42"/>
  <c r="O27" i="42"/>
  <c r="E27" i="42"/>
  <c r="C27" i="42"/>
  <c r="O26" i="42"/>
  <c r="E26" i="42"/>
  <c r="C26" i="42"/>
  <c r="O25" i="42"/>
  <c r="E25" i="42"/>
  <c r="C25" i="42"/>
  <c r="O24" i="42"/>
  <c r="M24" i="42"/>
  <c r="E24" i="42"/>
  <c r="C24" i="42"/>
  <c r="O23" i="42"/>
  <c r="E23" i="42"/>
  <c r="C23" i="42"/>
  <c r="O22" i="42"/>
  <c r="M22" i="42"/>
  <c r="E22" i="42"/>
  <c r="C22" i="42"/>
  <c r="O21" i="42"/>
  <c r="E21" i="42"/>
  <c r="C21" i="42"/>
  <c r="O20" i="42"/>
  <c r="M20" i="42"/>
  <c r="E20" i="42"/>
  <c r="C20" i="42"/>
  <c r="O19" i="42"/>
  <c r="E19" i="42"/>
  <c r="C19" i="42"/>
  <c r="O18" i="42"/>
  <c r="E18" i="42"/>
  <c r="C18" i="42"/>
  <c r="O17" i="42"/>
  <c r="E17" i="42"/>
  <c r="C17" i="42"/>
  <c r="O16" i="42"/>
  <c r="E16" i="42"/>
  <c r="C16" i="42"/>
  <c r="O15" i="42"/>
  <c r="M15" i="42"/>
  <c r="E15" i="42"/>
  <c r="C15" i="42"/>
  <c r="O14" i="42"/>
  <c r="E14" i="42"/>
  <c r="C14" i="42"/>
  <c r="O13" i="42"/>
  <c r="E13" i="42"/>
  <c r="C13" i="42"/>
  <c r="O12" i="42"/>
  <c r="E12" i="42"/>
  <c r="C12" i="42"/>
  <c r="O11" i="42"/>
  <c r="E11" i="42"/>
  <c r="C11" i="42"/>
  <c r="O10" i="42"/>
  <c r="M10" i="42"/>
  <c r="E10" i="42"/>
  <c r="C10" i="42"/>
  <c r="O9" i="42"/>
  <c r="E9" i="42"/>
  <c r="C9" i="42"/>
  <c r="O8" i="42"/>
  <c r="E8" i="42"/>
  <c r="C8" i="42"/>
  <c r="O7" i="42"/>
  <c r="E7" i="42"/>
  <c r="C7" i="42"/>
  <c r="O6" i="42"/>
  <c r="E6" i="42"/>
  <c r="C6" i="42"/>
  <c r="O5" i="42"/>
  <c r="M5" i="42"/>
  <c r="E5" i="42"/>
  <c r="C5" i="42"/>
  <c r="M81" i="23"/>
  <c r="M81" i="41"/>
  <c r="M103" i="41"/>
  <c r="L101" i="41"/>
  <c r="K101" i="41"/>
  <c r="J101" i="41"/>
  <c r="I101" i="41"/>
  <c r="H101" i="41"/>
  <c r="G101" i="41"/>
  <c r="O100" i="41"/>
  <c r="E100" i="41"/>
  <c r="C100" i="41"/>
  <c r="O99" i="41"/>
  <c r="C99" i="41"/>
  <c r="O98" i="41"/>
  <c r="M98" i="41"/>
  <c r="E98" i="41"/>
  <c r="C98" i="41"/>
  <c r="O97" i="41"/>
  <c r="C97" i="41"/>
  <c r="O96" i="41"/>
  <c r="M96" i="41"/>
  <c r="C96" i="41"/>
  <c r="O95" i="41"/>
  <c r="E95" i="41"/>
  <c r="C95" i="41"/>
  <c r="O94" i="41"/>
  <c r="E94" i="41"/>
  <c r="C94" i="41"/>
  <c r="O93" i="41"/>
  <c r="E93" i="41"/>
  <c r="C93" i="41"/>
  <c r="O92" i="41"/>
  <c r="E92" i="41"/>
  <c r="C92" i="41"/>
  <c r="O91" i="41"/>
  <c r="E91" i="41"/>
  <c r="C91" i="41"/>
  <c r="O90" i="41"/>
  <c r="E90" i="41"/>
  <c r="C90" i="41"/>
  <c r="O89" i="41"/>
  <c r="E89" i="41"/>
  <c r="C89" i="41"/>
  <c r="O88" i="41"/>
  <c r="E88" i="41"/>
  <c r="C88" i="41"/>
  <c r="O87" i="41"/>
  <c r="M87" i="41"/>
  <c r="E87" i="41"/>
  <c r="C87" i="41"/>
  <c r="O86" i="41"/>
  <c r="E86" i="41"/>
  <c r="C86" i="41"/>
  <c r="O85" i="41"/>
  <c r="E85" i="41"/>
  <c r="C85" i="41"/>
  <c r="O84" i="41"/>
  <c r="E84" i="41"/>
  <c r="C84" i="41"/>
  <c r="O83" i="41"/>
  <c r="E83" i="41"/>
  <c r="C83" i="41"/>
  <c r="O82" i="41"/>
  <c r="E82" i="41"/>
  <c r="C82" i="41"/>
  <c r="O81" i="41"/>
  <c r="E81" i="41"/>
  <c r="C81" i="41"/>
  <c r="O80" i="41"/>
  <c r="E80" i="41"/>
  <c r="C80" i="41"/>
  <c r="O79" i="41"/>
  <c r="E79" i="41"/>
  <c r="C79" i="41"/>
  <c r="O78" i="41"/>
  <c r="M78" i="41"/>
  <c r="E78" i="41"/>
  <c r="C78" i="41"/>
  <c r="O77" i="41"/>
  <c r="E77" i="41"/>
  <c r="C77" i="41"/>
  <c r="O76" i="41"/>
  <c r="M76" i="41"/>
  <c r="E76" i="41"/>
  <c r="C76" i="41"/>
  <c r="O75" i="41"/>
  <c r="E75" i="41"/>
  <c r="C75" i="41"/>
  <c r="O74" i="41"/>
  <c r="E74" i="41"/>
  <c r="C74" i="41"/>
  <c r="O73" i="41"/>
  <c r="E73" i="41"/>
  <c r="C73" i="41"/>
  <c r="O72" i="41"/>
  <c r="E72" i="41"/>
  <c r="C72" i="41"/>
  <c r="O71" i="41"/>
  <c r="E71" i="41"/>
  <c r="O69" i="41"/>
  <c r="E69" i="41"/>
  <c r="C69" i="41"/>
  <c r="O68" i="41"/>
  <c r="E68" i="41"/>
  <c r="C68" i="41"/>
  <c r="O67" i="41"/>
  <c r="E67" i="41"/>
  <c r="C67" i="41"/>
  <c r="O66" i="41"/>
  <c r="E66" i="41"/>
  <c r="C66" i="41"/>
  <c r="O65" i="41"/>
  <c r="E65" i="41"/>
  <c r="C65" i="41"/>
  <c r="O64" i="41"/>
  <c r="E64" i="41"/>
  <c r="C64" i="41"/>
  <c r="O63" i="41"/>
  <c r="E63" i="41"/>
  <c r="C63" i="41"/>
  <c r="O62" i="41"/>
  <c r="E62" i="41"/>
  <c r="C62" i="41"/>
  <c r="O61" i="41"/>
  <c r="M61" i="41"/>
  <c r="E61" i="41"/>
  <c r="C61" i="41"/>
  <c r="O60" i="41"/>
  <c r="E60" i="41"/>
  <c r="C60" i="41"/>
  <c r="O59" i="41"/>
  <c r="M59" i="41"/>
  <c r="E59" i="41"/>
  <c r="C59" i="41"/>
  <c r="O58" i="41"/>
  <c r="E58" i="41"/>
  <c r="C58" i="41"/>
  <c r="O57" i="41"/>
  <c r="M57" i="41"/>
  <c r="E57" i="41"/>
  <c r="C57" i="41"/>
  <c r="O56" i="41"/>
  <c r="E56" i="41"/>
  <c r="C56" i="41"/>
  <c r="O55" i="41"/>
  <c r="E55" i="41"/>
  <c r="C55" i="41"/>
  <c r="O54" i="41"/>
  <c r="E54" i="41"/>
  <c r="C54" i="41"/>
  <c r="O53" i="41"/>
  <c r="E53" i="41"/>
  <c r="C53" i="41"/>
  <c r="O52" i="41"/>
  <c r="E52" i="41"/>
  <c r="C52" i="41"/>
  <c r="O51" i="41"/>
  <c r="E51" i="41"/>
  <c r="C51" i="41"/>
  <c r="O50" i="41"/>
  <c r="E50" i="41"/>
  <c r="C50" i="41"/>
  <c r="O49" i="41"/>
  <c r="E49" i="41"/>
  <c r="C49" i="41"/>
  <c r="O48" i="41"/>
  <c r="E48" i="41"/>
  <c r="C48" i="41"/>
  <c r="O47" i="41"/>
  <c r="M47" i="41"/>
  <c r="E47" i="41"/>
  <c r="C47" i="41"/>
  <c r="O46" i="41"/>
  <c r="E46" i="41"/>
  <c r="C46" i="41"/>
  <c r="O45" i="41"/>
  <c r="E45" i="41"/>
  <c r="C45" i="41"/>
  <c r="O44" i="41"/>
  <c r="E44" i="41"/>
  <c r="C44" i="41"/>
  <c r="O43" i="41"/>
  <c r="E43" i="41"/>
  <c r="C43" i="41"/>
  <c r="O42" i="41"/>
  <c r="E42" i="41"/>
  <c r="C42" i="41"/>
  <c r="O41" i="41"/>
  <c r="E41" i="41"/>
  <c r="C41" i="41"/>
  <c r="O40" i="41"/>
  <c r="E40" i="41"/>
  <c r="C40" i="41"/>
  <c r="O39" i="41"/>
  <c r="E39" i="41"/>
  <c r="C39" i="41"/>
  <c r="O38" i="41"/>
  <c r="M38" i="41"/>
  <c r="E38" i="41"/>
  <c r="C38" i="41"/>
  <c r="L37" i="41"/>
  <c r="L102" i="41" s="1"/>
  <c r="L104" i="41" s="1"/>
  <c r="K37" i="41"/>
  <c r="K102" i="41" s="1"/>
  <c r="K104" i="41" s="1"/>
  <c r="J37" i="41"/>
  <c r="J102" i="41" s="1"/>
  <c r="J104" i="41" s="1"/>
  <c r="I37" i="41"/>
  <c r="I102" i="41" s="1"/>
  <c r="I104" i="41" s="1"/>
  <c r="H37" i="41"/>
  <c r="H102" i="41" s="1"/>
  <c r="H104" i="41" s="1"/>
  <c r="G37" i="41"/>
  <c r="G102" i="41" s="1"/>
  <c r="M34" i="41"/>
  <c r="O33" i="41"/>
  <c r="E33" i="41"/>
  <c r="C33" i="41"/>
  <c r="O32" i="41"/>
  <c r="E32" i="41"/>
  <c r="C32" i="41"/>
  <c r="O31" i="41"/>
  <c r="E31" i="41"/>
  <c r="C31" i="41"/>
  <c r="O30" i="41"/>
  <c r="E30" i="41"/>
  <c r="C30" i="41"/>
  <c r="O29" i="41"/>
  <c r="E29" i="41"/>
  <c r="C29" i="41"/>
  <c r="O28" i="41"/>
  <c r="M28" i="41"/>
  <c r="E28" i="41"/>
  <c r="C28" i="41"/>
  <c r="O27" i="41"/>
  <c r="E27" i="41"/>
  <c r="C27" i="41"/>
  <c r="O26" i="41"/>
  <c r="E26" i="41"/>
  <c r="C26" i="41"/>
  <c r="O25" i="41"/>
  <c r="E25" i="41"/>
  <c r="C25" i="41"/>
  <c r="O24" i="41"/>
  <c r="M24" i="41"/>
  <c r="E24" i="41"/>
  <c r="C24" i="41"/>
  <c r="O23" i="41"/>
  <c r="E23" i="41"/>
  <c r="C23" i="41"/>
  <c r="O22" i="41"/>
  <c r="M22" i="41"/>
  <c r="E22" i="41"/>
  <c r="C22" i="41"/>
  <c r="O21" i="41"/>
  <c r="E21" i="41"/>
  <c r="C21" i="41"/>
  <c r="O20" i="41"/>
  <c r="M20" i="41"/>
  <c r="E20" i="41"/>
  <c r="C20" i="41"/>
  <c r="O19" i="41"/>
  <c r="E19" i="41"/>
  <c r="C19" i="41"/>
  <c r="O18" i="41"/>
  <c r="E18" i="41"/>
  <c r="C18" i="41"/>
  <c r="O17" i="41"/>
  <c r="E17" i="41"/>
  <c r="C17" i="41"/>
  <c r="O16" i="41"/>
  <c r="E16" i="41"/>
  <c r="C16" i="41"/>
  <c r="O15" i="41"/>
  <c r="M15" i="41"/>
  <c r="E15" i="41"/>
  <c r="C15" i="41"/>
  <c r="O14" i="41"/>
  <c r="E14" i="41"/>
  <c r="C14" i="41"/>
  <c r="O13" i="41"/>
  <c r="E13" i="41"/>
  <c r="C13" i="41"/>
  <c r="O12" i="41"/>
  <c r="E12" i="41"/>
  <c r="C12" i="41"/>
  <c r="O11" i="41"/>
  <c r="E11" i="41"/>
  <c r="C11" i="41"/>
  <c r="O10" i="41"/>
  <c r="M10" i="41"/>
  <c r="E10" i="41"/>
  <c r="C10" i="41"/>
  <c r="O9" i="41"/>
  <c r="E9" i="41"/>
  <c r="C9" i="41"/>
  <c r="O8" i="41"/>
  <c r="E8" i="41"/>
  <c r="C8" i="41"/>
  <c r="O7" i="41"/>
  <c r="E7" i="41"/>
  <c r="C7" i="41"/>
  <c r="O6" i="41"/>
  <c r="E6" i="41"/>
  <c r="C6" i="41"/>
  <c r="O5" i="41"/>
  <c r="M5" i="41"/>
  <c r="N5" i="41" s="1"/>
  <c r="E5" i="41"/>
  <c r="C5" i="41"/>
  <c r="L95" i="40"/>
  <c r="K95" i="40"/>
  <c r="J95" i="40"/>
  <c r="I95" i="40"/>
  <c r="H95" i="40"/>
  <c r="G95" i="40"/>
  <c r="L34" i="40"/>
  <c r="K34" i="40"/>
  <c r="J34" i="40"/>
  <c r="I34" i="40"/>
  <c r="H34" i="40"/>
  <c r="G34" i="40"/>
  <c r="I102" i="42" l="1"/>
  <c r="I104" i="42" s="1"/>
  <c r="L102" i="42"/>
  <c r="L104" i="42" s="1"/>
  <c r="K102" i="42"/>
  <c r="K104" i="42" s="1"/>
  <c r="J102" i="42"/>
  <c r="J104" i="42" s="1"/>
  <c r="H102" i="42"/>
  <c r="H104" i="42" s="1"/>
  <c r="M101" i="42"/>
  <c r="N5" i="42"/>
  <c r="G104" i="42"/>
  <c r="M37" i="42"/>
  <c r="M101" i="41"/>
  <c r="M37" i="41"/>
  <c r="G104" i="41"/>
  <c r="M104" i="41" s="1"/>
  <c r="M102" i="41"/>
  <c r="G96" i="40"/>
  <c r="G98" i="40" s="1"/>
  <c r="H96" i="40"/>
  <c r="H98" i="40" s="1"/>
  <c r="I96" i="40"/>
  <c r="I98" i="40" s="1"/>
  <c r="L96" i="40"/>
  <c r="L98" i="40" s="1"/>
  <c r="K96" i="40"/>
  <c r="K98" i="40" s="1"/>
  <c r="J96" i="40"/>
  <c r="J98" i="40" s="1"/>
  <c r="M102" i="42" l="1"/>
  <c r="M104" i="42"/>
  <c r="O74" i="38"/>
  <c r="M72" i="38"/>
  <c r="L72" i="38"/>
  <c r="K72" i="38"/>
  <c r="J72" i="38"/>
  <c r="I72" i="38"/>
  <c r="H72" i="38"/>
  <c r="N55" i="38"/>
  <c r="O46" i="38"/>
  <c r="N46" i="38"/>
  <c r="O37" i="38"/>
  <c r="N37" i="38"/>
  <c r="O35" i="38"/>
  <c r="N35" i="38"/>
  <c r="N27" i="38"/>
  <c r="O27" i="38" s="1"/>
  <c r="O72" i="38" s="1"/>
  <c r="M26" i="38"/>
  <c r="M73" i="38" s="1"/>
  <c r="L26" i="38"/>
  <c r="L73" i="38" s="1"/>
  <c r="K26" i="38"/>
  <c r="K73" i="38" s="1"/>
  <c r="J26" i="38"/>
  <c r="J73" i="38" s="1"/>
  <c r="I26" i="38"/>
  <c r="I73" i="38" s="1"/>
  <c r="H26" i="38"/>
  <c r="H73" i="38" s="1"/>
  <c r="N24" i="38"/>
  <c r="O24" i="38" s="1"/>
  <c r="N21" i="38"/>
  <c r="N19" i="38"/>
  <c r="O19" i="38" s="1"/>
  <c r="N17" i="38"/>
  <c r="N16" i="38"/>
  <c r="O16" i="38" s="1"/>
  <c r="N15" i="38"/>
  <c r="N12" i="38"/>
  <c r="N8" i="38"/>
  <c r="N5" i="38"/>
  <c r="O5" i="38" s="1"/>
  <c r="O26" i="38" s="1"/>
  <c r="O73" i="38" l="1"/>
  <c r="N75" i="38" s="1"/>
  <c r="O72" i="23" l="1"/>
  <c r="O73" i="23"/>
  <c r="O74" i="23"/>
  <c r="O75" i="23"/>
  <c r="O76" i="23"/>
  <c r="O77" i="23"/>
  <c r="O78" i="23"/>
  <c r="O79" i="23"/>
  <c r="O66" i="23"/>
  <c r="O67" i="23"/>
  <c r="O68" i="23"/>
  <c r="O69" i="23"/>
  <c r="O71" i="23"/>
  <c r="O63" i="23"/>
  <c r="O64" i="23"/>
  <c r="O65" i="23"/>
  <c r="O40" i="23"/>
  <c r="O41" i="23"/>
  <c r="O42" i="23"/>
  <c r="O43" i="23"/>
  <c r="O44" i="23"/>
  <c r="O45" i="23"/>
  <c r="O46" i="23"/>
  <c r="O47" i="23"/>
  <c r="O48" i="23"/>
  <c r="O49" i="23"/>
  <c r="O50" i="23"/>
  <c r="O51" i="23"/>
  <c r="O52" i="23"/>
  <c r="O53" i="23"/>
  <c r="O54" i="23"/>
  <c r="O6" i="23"/>
  <c r="O7" i="23"/>
  <c r="O8" i="23"/>
  <c r="O9" i="23"/>
  <c r="O10" i="23"/>
  <c r="O11" i="23"/>
  <c r="O12" i="23"/>
  <c r="O13" i="23"/>
  <c r="O14" i="23"/>
  <c r="O15" i="23"/>
  <c r="O16" i="23"/>
  <c r="O17" i="23"/>
  <c r="O95" i="23"/>
  <c r="O96" i="23"/>
  <c r="O97" i="23"/>
  <c r="O98" i="23"/>
  <c r="O99" i="23"/>
  <c r="O100" i="23"/>
  <c r="O91" i="23"/>
  <c r="O92" i="23"/>
  <c r="O93" i="23"/>
  <c r="O94" i="23"/>
  <c r="M96" i="23"/>
  <c r="M87" i="23"/>
  <c r="C99" i="23"/>
  <c r="C96" i="23"/>
  <c r="C97" i="23"/>
  <c r="E93" i="23"/>
  <c r="E94" i="23"/>
  <c r="C93" i="23"/>
  <c r="C94" i="23"/>
  <c r="E91" i="23"/>
  <c r="C91" i="23"/>
  <c r="C87" i="23"/>
  <c r="E87" i="23"/>
  <c r="O87" i="23"/>
  <c r="C88" i="23"/>
  <c r="E88" i="23"/>
  <c r="O88" i="23"/>
  <c r="C89" i="23"/>
  <c r="E89" i="23"/>
  <c r="O89" i="23"/>
  <c r="C90" i="23"/>
  <c r="E90" i="23"/>
  <c r="O90" i="23"/>
  <c r="E79" i="23"/>
  <c r="C79" i="23"/>
  <c r="E68" i="23"/>
  <c r="E69" i="23"/>
  <c r="C68" i="23"/>
  <c r="C69" i="23"/>
  <c r="E63" i="23"/>
  <c r="E64" i="23"/>
  <c r="C63" i="23"/>
  <c r="C64" i="23"/>
  <c r="E54" i="23"/>
  <c r="C54" i="23"/>
  <c r="E49" i="23"/>
  <c r="E50" i="23"/>
  <c r="C49" i="23"/>
  <c r="C50" i="23"/>
  <c r="E44" i="23"/>
  <c r="C44" i="23"/>
  <c r="E17" i="23"/>
  <c r="C17" i="23"/>
  <c r="E12" i="23"/>
  <c r="C12" i="23"/>
  <c r="E7" i="23"/>
  <c r="C7" i="23"/>
  <c r="C38" i="23" l="1"/>
  <c r="E38" i="23"/>
  <c r="E28" i="23"/>
  <c r="C100" i="23"/>
  <c r="C98" i="23"/>
  <c r="C95" i="23"/>
  <c r="C92" i="23"/>
  <c r="C86" i="23"/>
  <c r="C85" i="23"/>
  <c r="C84" i="23"/>
  <c r="C83" i="23"/>
  <c r="C82" i="23"/>
  <c r="C81" i="23"/>
  <c r="C80" i="23"/>
  <c r="C78" i="23"/>
  <c r="C77" i="23"/>
  <c r="C76" i="23"/>
  <c r="C75" i="23"/>
  <c r="C74" i="23"/>
  <c r="C73" i="23"/>
  <c r="C72" i="23"/>
  <c r="C67" i="23"/>
  <c r="C66" i="23"/>
  <c r="C65" i="23"/>
  <c r="C62" i="23"/>
  <c r="C61" i="23"/>
  <c r="C60" i="23"/>
  <c r="C59" i="23"/>
  <c r="C58" i="23"/>
  <c r="C57" i="23"/>
  <c r="C56" i="23"/>
  <c r="C55" i="23"/>
  <c r="C53" i="23"/>
  <c r="C52" i="23"/>
  <c r="C51" i="23"/>
  <c r="C48" i="23"/>
  <c r="C47" i="23"/>
  <c r="C46" i="23"/>
  <c r="C45" i="23"/>
  <c r="C43" i="23"/>
  <c r="C42" i="23"/>
  <c r="C41" i="23"/>
  <c r="C40" i="23"/>
  <c r="C39" i="23"/>
  <c r="C33" i="23"/>
  <c r="C32" i="23"/>
  <c r="C31" i="23"/>
  <c r="C30" i="23"/>
  <c r="C29" i="23"/>
  <c r="C28" i="23"/>
  <c r="C27" i="23"/>
  <c r="C26" i="23"/>
  <c r="C25" i="23"/>
  <c r="C24" i="23"/>
  <c r="C23" i="23"/>
  <c r="C22" i="23"/>
  <c r="C21" i="23"/>
  <c r="C20" i="23"/>
  <c r="C19" i="23"/>
  <c r="C18" i="23"/>
  <c r="C16" i="23"/>
  <c r="C15" i="23"/>
  <c r="C14" i="23"/>
  <c r="C13" i="23"/>
  <c r="C11" i="23"/>
  <c r="C10" i="23"/>
  <c r="C9" i="23"/>
  <c r="C8" i="23"/>
  <c r="C6" i="23"/>
  <c r="O39" i="23" l="1"/>
  <c r="O55" i="23"/>
  <c r="O56" i="23"/>
  <c r="O57" i="23"/>
  <c r="O58" i="23"/>
  <c r="O59" i="23"/>
  <c r="O60" i="23"/>
  <c r="O61" i="23"/>
  <c r="O62" i="23"/>
  <c r="O80" i="23"/>
  <c r="O81" i="23"/>
  <c r="O82" i="23"/>
  <c r="O83" i="23"/>
  <c r="O84" i="23"/>
  <c r="O85" i="23"/>
  <c r="O86" i="23"/>
  <c r="O38" i="23"/>
  <c r="O18" i="23"/>
  <c r="O19" i="23"/>
  <c r="O20" i="23"/>
  <c r="O21" i="23"/>
  <c r="O22" i="23"/>
  <c r="O23" i="23"/>
  <c r="O24" i="23"/>
  <c r="O25" i="23"/>
  <c r="O26" i="23"/>
  <c r="O27" i="23"/>
  <c r="O28" i="23"/>
  <c r="O29" i="23"/>
  <c r="O30" i="23"/>
  <c r="O31" i="23"/>
  <c r="O32" i="23"/>
  <c r="O33" i="23"/>
  <c r="E100" i="23"/>
  <c r="E92" i="23"/>
  <c r="E95" i="23"/>
  <c r="E98" i="23"/>
  <c r="E39" i="23"/>
  <c r="E40" i="23"/>
  <c r="E41" i="23"/>
  <c r="E42" i="23"/>
  <c r="E43" i="23"/>
  <c r="E45" i="23"/>
  <c r="E46" i="23"/>
  <c r="E47" i="23"/>
  <c r="E48" i="23"/>
  <c r="E51" i="23"/>
  <c r="E52" i="23"/>
  <c r="E53" i="23"/>
  <c r="E55" i="23"/>
  <c r="E56" i="23"/>
  <c r="E57" i="23"/>
  <c r="E58" i="23"/>
  <c r="E59" i="23"/>
  <c r="E60" i="23"/>
  <c r="E61" i="23"/>
  <c r="E62" i="23"/>
  <c r="E65" i="23"/>
  <c r="E66" i="23"/>
  <c r="E67" i="23"/>
  <c r="E71" i="23"/>
  <c r="E72" i="23"/>
  <c r="E73" i="23"/>
  <c r="E74" i="23"/>
  <c r="E75" i="23"/>
  <c r="E76" i="23"/>
  <c r="E77" i="23"/>
  <c r="E78" i="23"/>
  <c r="E80" i="23"/>
  <c r="E81" i="23"/>
  <c r="E82" i="23"/>
  <c r="E83" i="23"/>
  <c r="E84" i="23"/>
  <c r="E85" i="23"/>
  <c r="E86" i="23"/>
  <c r="E23" i="23"/>
  <c r="E24" i="23"/>
  <c r="E25" i="23"/>
  <c r="E26" i="23"/>
  <c r="E27" i="23"/>
  <c r="E29" i="23"/>
  <c r="E30" i="23"/>
  <c r="E31" i="23"/>
  <c r="E32" i="23"/>
  <c r="E33" i="23"/>
  <c r="E6" i="23"/>
  <c r="E8" i="23"/>
  <c r="E9" i="23"/>
  <c r="E10" i="23"/>
  <c r="E11" i="23"/>
  <c r="E13" i="23"/>
  <c r="E14" i="23"/>
  <c r="E15" i="23"/>
  <c r="E16" i="23"/>
  <c r="E18" i="23"/>
  <c r="E19" i="23"/>
  <c r="E20" i="23"/>
  <c r="E21" i="23"/>
  <c r="E22" i="23"/>
  <c r="O5" i="23"/>
  <c r="E5" i="23"/>
  <c r="C5" i="23"/>
  <c r="B1" i="30" l="1"/>
  <c r="H101" i="23" l="1"/>
  <c r="I101" i="23"/>
  <c r="J101" i="23"/>
  <c r="K101" i="23"/>
  <c r="L101" i="23"/>
  <c r="M98" i="23" l="1"/>
  <c r="M78" i="23"/>
  <c r="M76" i="23"/>
  <c r="M61" i="23"/>
  <c r="M59" i="23"/>
  <c r="M57" i="23"/>
  <c r="M47" i="23"/>
  <c r="M38" i="23"/>
  <c r="M34" i="23"/>
  <c r="M28" i="23"/>
  <c r="M24" i="23"/>
  <c r="M22" i="23"/>
  <c r="M20" i="23"/>
  <c r="M10" i="23"/>
  <c r="M15" i="23"/>
  <c r="M5" i="23"/>
  <c r="N5" i="23" l="1"/>
  <c r="M103" i="23" l="1"/>
  <c r="G101" i="23"/>
  <c r="M101" i="23" s="1"/>
  <c r="L37" i="23"/>
  <c r="L102" i="23" s="1"/>
  <c r="L104" i="23" s="1"/>
  <c r="K37" i="23"/>
  <c r="K102" i="23" s="1"/>
  <c r="K104" i="23" s="1"/>
  <c r="J37" i="23"/>
  <c r="J102" i="23" s="1"/>
  <c r="J104" i="23" s="1"/>
  <c r="I37" i="23"/>
  <c r="H37" i="23"/>
  <c r="G37" i="23"/>
  <c r="M37" i="23" l="1"/>
  <c r="G102" i="23"/>
  <c r="H102" i="23"/>
  <c r="H104" i="23" s="1"/>
  <c r="I102" i="23"/>
  <c r="I104" i="23" s="1"/>
  <c r="M102" i="23" l="1"/>
  <c r="G104" i="23"/>
  <c r="M104" i="2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B35" authorId="0" shapeId="0" xr:uid="{FEB25E2B-6A22-4911-A825-DD5C30F62EF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선택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교과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군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그룹으로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묶어진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과목들이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있다면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그룹으로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표시하고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교과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군</t>
        </r>
        <r>
          <rPr>
            <sz val="9"/>
            <color indexed="81"/>
            <rFont val="Tahoma"/>
            <family val="2"/>
          </rPr>
          <t xml:space="preserve">) </t>
        </r>
        <r>
          <rPr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: </t>
        </r>
        <r>
          <rPr>
            <sz val="9"/>
            <color indexed="81"/>
            <rFont val="돋움"/>
            <family val="3"/>
            <charset val="129"/>
          </rPr>
          <t>국어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수학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영어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한국사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사회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과학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체육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예술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기술</t>
        </r>
        <r>
          <rPr>
            <sz val="9"/>
            <color indexed="81"/>
            <rFont val="Tahoma"/>
            <family val="2"/>
          </rPr>
          <t>·</t>
        </r>
        <r>
          <rPr>
            <sz val="9"/>
            <color indexed="81"/>
            <rFont val="돋움"/>
            <family val="3"/>
            <charset val="129"/>
          </rPr>
          <t>가정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제</t>
        </r>
        <r>
          <rPr>
            <sz val="9"/>
            <color indexed="81"/>
            <rFont val="Tahoma"/>
            <family val="2"/>
          </rPr>
          <t>2</t>
        </r>
        <r>
          <rPr>
            <sz val="9"/>
            <color indexed="81"/>
            <rFont val="돋움"/>
            <family val="3"/>
            <charset val="129"/>
          </rPr>
          <t>외국어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한문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교양</t>
        </r>
        <r>
          <rPr>
            <sz val="9"/>
            <color indexed="81"/>
            <rFont val="Tahoma"/>
            <family val="2"/>
          </rPr>
          <t xml:space="preserve">  </t>
        </r>
        <r>
          <rPr>
            <sz val="9"/>
            <color indexed="81"/>
            <rFont val="돋움"/>
            <family val="3"/>
            <charset val="129"/>
          </rPr>
          <t>중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택</t>
        </r>
        <r>
          <rPr>
            <sz val="9"/>
            <color indexed="81"/>
            <rFont val="Tahoma"/>
            <family val="2"/>
          </rPr>
          <t>1</t>
        </r>
      </text>
    </comment>
    <comment ref="A93" authorId="0" shapeId="0" xr:uid="{409D337A-A2D5-45D6-8D76-09C4DB354A6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소인수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교육과정이라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하더라도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일과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정규교육과정으로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편성한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위의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선택군</t>
        </r>
        <r>
          <rPr>
            <sz val="9"/>
            <color indexed="81"/>
            <rFont val="Tahoma"/>
            <family val="2"/>
          </rPr>
          <t>A,B,C…</t>
        </r>
        <r>
          <rPr>
            <sz val="9"/>
            <color indexed="81"/>
            <rFont val="돋움"/>
            <family val="3"/>
            <charset val="129"/>
          </rPr>
          <t>내에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표기함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D3" authorId="0" shapeId="0" xr:uid="{26BE18E8-6238-4621-A92F-9BA34DB48DBA}">
      <text>
        <r>
          <rPr>
            <b/>
            <sz val="9"/>
            <color indexed="81"/>
            <rFont val="Tahoma"/>
            <family val="2"/>
          </rPr>
          <t xml:space="preserve">user: </t>
        </r>
        <r>
          <rPr>
            <b/>
            <sz val="9"/>
            <color indexed="81"/>
            <rFont val="돋움"/>
            <family val="3"/>
            <charset val="129"/>
          </rPr>
          <t>과목명부터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먼저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바랍니다</t>
        </r>
        <r>
          <rPr>
            <b/>
            <sz val="9"/>
            <color indexed="81"/>
            <rFont val="Tahoma"/>
            <family val="2"/>
          </rPr>
          <t>.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※과목명을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입력하면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과목유형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기본학점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돋움"/>
            <family val="3"/>
            <charset val="129"/>
          </rPr>
          <t>성적처리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유형이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자동으로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입력됨</t>
        </r>
      </text>
    </comment>
    <comment ref="B38" authorId="0" shapeId="0" xr:uid="{B0A1D10E-1BE4-4197-8F72-7D8F5AE1F36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선택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교과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군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그룹으로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묶어진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과목들이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있다면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그룹으로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표시하고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교과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군</t>
        </r>
        <r>
          <rPr>
            <sz val="9"/>
            <color indexed="81"/>
            <rFont val="Tahoma"/>
            <family val="2"/>
          </rPr>
          <t xml:space="preserve">) </t>
        </r>
        <r>
          <rPr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: </t>
        </r>
        <r>
          <rPr>
            <sz val="9"/>
            <color indexed="81"/>
            <rFont val="돋움"/>
            <family val="3"/>
            <charset val="129"/>
          </rPr>
          <t>국어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수학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영어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사회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과학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체육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예술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기술</t>
        </r>
        <r>
          <rPr>
            <sz val="9"/>
            <color indexed="81"/>
            <rFont val="Tahoma"/>
            <family val="2"/>
          </rPr>
          <t>·</t>
        </r>
        <r>
          <rPr>
            <sz val="9"/>
            <color indexed="81"/>
            <rFont val="돋움"/>
            <family val="3"/>
            <charset val="129"/>
          </rPr>
          <t>가정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정보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제</t>
        </r>
        <r>
          <rPr>
            <sz val="9"/>
            <color indexed="81"/>
            <rFont val="Tahoma"/>
            <family val="2"/>
          </rPr>
          <t>2</t>
        </r>
        <r>
          <rPr>
            <sz val="9"/>
            <color indexed="81"/>
            <rFont val="돋움"/>
            <family val="3"/>
            <charset val="129"/>
          </rPr>
          <t>외국어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한문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교양</t>
        </r>
        <r>
          <rPr>
            <sz val="9"/>
            <color indexed="81"/>
            <rFont val="Tahoma"/>
            <family val="2"/>
          </rPr>
          <t xml:space="preserve">  </t>
        </r>
        <r>
          <rPr>
            <sz val="9"/>
            <color indexed="81"/>
            <rFont val="돋움"/>
            <family val="3"/>
            <charset val="129"/>
          </rPr>
          <t>중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택</t>
        </r>
        <r>
          <rPr>
            <sz val="9"/>
            <color indexed="81"/>
            <rFont val="Tahoma"/>
            <family val="2"/>
          </rPr>
          <t>1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D3" authorId="0" shapeId="0" xr:uid="{779844FC-7F2E-4681-A378-59B8491D90F2}">
      <text>
        <r>
          <rPr>
            <b/>
            <sz val="9"/>
            <color indexed="81"/>
            <rFont val="Tahoma"/>
            <family val="2"/>
          </rPr>
          <t xml:space="preserve">user: </t>
        </r>
        <r>
          <rPr>
            <b/>
            <sz val="9"/>
            <color indexed="81"/>
            <rFont val="돋움"/>
            <family val="3"/>
            <charset val="129"/>
          </rPr>
          <t>과목명부터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먼저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바랍니다</t>
        </r>
        <r>
          <rPr>
            <b/>
            <sz val="9"/>
            <color indexed="81"/>
            <rFont val="Tahoma"/>
            <family val="2"/>
          </rPr>
          <t>.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※과목명을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입력하면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과목유형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기본학점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돋움"/>
            <family val="3"/>
            <charset val="129"/>
          </rPr>
          <t>성적처리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유형이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자동으로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입력됨</t>
        </r>
      </text>
    </comment>
    <comment ref="B38" authorId="0" shapeId="0" xr:uid="{7674D29D-2B54-481B-A8EE-484CF62614E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선택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교과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군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그룹으로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묶어진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과목들이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있다면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그룹으로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표시하고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교과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군</t>
        </r>
        <r>
          <rPr>
            <sz val="9"/>
            <color indexed="81"/>
            <rFont val="Tahoma"/>
            <family val="2"/>
          </rPr>
          <t xml:space="preserve">) </t>
        </r>
        <r>
          <rPr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: </t>
        </r>
        <r>
          <rPr>
            <sz val="9"/>
            <color indexed="81"/>
            <rFont val="돋움"/>
            <family val="3"/>
            <charset val="129"/>
          </rPr>
          <t>국어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수학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영어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사회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과학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체육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예술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기술</t>
        </r>
        <r>
          <rPr>
            <sz val="9"/>
            <color indexed="81"/>
            <rFont val="Tahoma"/>
            <family val="2"/>
          </rPr>
          <t>·</t>
        </r>
        <r>
          <rPr>
            <sz val="9"/>
            <color indexed="81"/>
            <rFont val="돋움"/>
            <family val="3"/>
            <charset val="129"/>
          </rPr>
          <t>가정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정보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제</t>
        </r>
        <r>
          <rPr>
            <sz val="9"/>
            <color indexed="81"/>
            <rFont val="Tahoma"/>
            <family val="2"/>
          </rPr>
          <t>2</t>
        </r>
        <r>
          <rPr>
            <sz val="9"/>
            <color indexed="81"/>
            <rFont val="돋움"/>
            <family val="3"/>
            <charset val="129"/>
          </rPr>
          <t>외국어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한문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교양</t>
        </r>
        <r>
          <rPr>
            <sz val="9"/>
            <color indexed="81"/>
            <rFont val="Tahoma"/>
            <family val="2"/>
          </rPr>
          <t xml:space="preserve">  </t>
        </r>
        <r>
          <rPr>
            <sz val="9"/>
            <color indexed="81"/>
            <rFont val="돋움"/>
            <family val="3"/>
            <charset val="129"/>
          </rPr>
          <t>중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택</t>
        </r>
        <r>
          <rPr>
            <sz val="9"/>
            <color indexed="81"/>
            <rFont val="Tahoma"/>
            <family val="2"/>
          </rPr>
          <t>1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D3" authorId="0" shapeId="0" xr:uid="{427F18ED-4906-4983-A6A9-262C571013E0}">
      <text>
        <r>
          <rPr>
            <b/>
            <sz val="9"/>
            <color indexed="81"/>
            <rFont val="Tahoma"/>
            <family val="2"/>
          </rPr>
          <t xml:space="preserve">user: </t>
        </r>
        <r>
          <rPr>
            <b/>
            <sz val="9"/>
            <color indexed="81"/>
            <rFont val="돋움"/>
            <family val="3"/>
            <charset val="129"/>
          </rPr>
          <t>과목명부터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먼저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바랍니다</t>
        </r>
        <r>
          <rPr>
            <b/>
            <sz val="9"/>
            <color indexed="81"/>
            <rFont val="Tahoma"/>
            <family val="2"/>
          </rPr>
          <t>.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※과목명을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입력하면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과목유형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기본학점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돋움"/>
            <family val="3"/>
            <charset val="129"/>
          </rPr>
          <t>성적처리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유형이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자동으로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입력됨</t>
        </r>
      </text>
    </comment>
    <comment ref="B38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선택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교과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군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그룹으로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묶어진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과목들이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있다면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그룹으로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표시하고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교과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군</t>
        </r>
        <r>
          <rPr>
            <sz val="9"/>
            <color indexed="81"/>
            <rFont val="Tahoma"/>
            <family val="2"/>
          </rPr>
          <t xml:space="preserve">) </t>
        </r>
        <r>
          <rPr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: </t>
        </r>
        <r>
          <rPr>
            <sz val="9"/>
            <color indexed="81"/>
            <rFont val="돋움"/>
            <family val="3"/>
            <charset val="129"/>
          </rPr>
          <t>국어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수학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영어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사회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과학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체육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예술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기술</t>
        </r>
        <r>
          <rPr>
            <sz val="9"/>
            <color indexed="81"/>
            <rFont val="Tahoma"/>
            <family val="2"/>
          </rPr>
          <t>·</t>
        </r>
        <r>
          <rPr>
            <sz val="9"/>
            <color indexed="81"/>
            <rFont val="돋움"/>
            <family val="3"/>
            <charset val="129"/>
          </rPr>
          <t>가정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정보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제</t>
        </r>
        <r>
          <rPr>
            <sz val="9"/>
            <color indexed="81"/>
            <rFont val="Tahoma"/>
            <family val="2"/>
          </rPr>
          <t>2</t>
        </r>
        <r>
          <rPr>
            <sz val="9"/>
            <color indexed="81"/>
            <rFont val="돋움"/>
            <family val="3"/>
            <charset val="129"/>
          </rPr>
          <t>외국어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한문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교양</t>
        </r>
        <r>
          <rPr>
            <sz val="9"/>
            <color indexed="81"/>
            <rFont val="Tahoma"/>
            <family val="2"/>
          </rPr>
          <t xml:space="preserve">  </t>
        </r>
        <r>
          <rPr>
            <sz val="9"/>
            <color indexed="81"/>
            <rFont val="돋움"/>
            <family val="3"/>
            <charset val="129"/>
          </rPr>
          <t>중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택</t>
        </r>
        <r>
          <rPr>
            <sz val="9"/>
            <color indexed="81"/>
            <rFont val="Tahoma"/>
            <family val="2"/>
          </rPr>
          <t>1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  <author>user</author>
  </authors>
  <commentList>
    <comment ref="C27" authorId="0" shapeId="0" xr:uid="{478CAF27-E53C-4569-8BF9-4EDC8C25D47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선택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교과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군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그룹으로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묶어진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과목들이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있다면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그룹으로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표시하고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교과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군</t>
        </r>
        <r>
          <rPr>
            <sz val="9"/>
            <color indexed="81"/>
            <rFont val="Tahoma"/>
            <family val="2"/>
          </rPr>
          <t xml:space="preserve">) </t>
        </r>
        <r>
          <rPr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: </t>
        </r>
        <r>
          <rPr>
            <sz val="9"/>
            <color indexed="81"/>
            <rFont val="돋움"/>
            <family val="3"/>
            <charset val="129"/>
          </rPr>
          <t>국어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수학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영어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한국사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사회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과학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체육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예술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기술</t>
        </r>
        <r>
          <rPr>
            <sz val="9"/>
            <color indexed="81"/>
            <rFont val="Tahoma"/>
            <family val="2"/>
          </rPr>
          <t>·</t>
        </r>
        <r>
          <rPr>
            <sz val="9"/>
            <color indexed="81"/>
            <rFont val="돋움"/>
            <family val="3"/>
            <charset val="129"/>
          </rPr>
          <t>가정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제</t>
        </r>
        <r>
          <rPr>
            <sz val="9"/>
            <color indexed="81"/>
            <rFont val="Tahoma"/>
            <family val="2"/>
          </rPr>
          <t>2</t>
        </r>
        <r>
          <rPr>
            <sz val="9"/>
            <color indexed="81"/>
            <rFont val="돋움"/>
            <family val="3"/>
            <charset val="129"/>
          </rPr>
          <t>외국어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한문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교양</t>
        </r>
        <r>
          <rPr>
            <sz val="9"/>
            <color indexed="81"/>
            <rFont val="Tahoma"/>
            <family val="2"/>
          </rPr>
          <t xml:space="preserve">  </t>
        </r>
        <r>
          <rPr>
            <sz val="9"/>
            <color indexed="81"/>
            <rFont val="돋움"/>
            <family val="3"/>
            <charset val="129"/>
          </rPr>
          <t>중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택</t>
        </r>
        <r>
          <rPr>
            <sz val="9"/>
            <color indexed="81"/>
            <rFont val="Tahoma"/>
            <family val="2"/>
          </rPr>
          <t>1</t>
        </r>
      </text>
    </comment>
    <comment ref="A72" authorId="1" shapeId="0" xr:uid="{256B9705-9E0F-4390-9020-7F7FECC0C6CC}">
      <text>
        <r>
          <rPr>
            <sz val="9"/>
            <color indexed="81"/>
            <rFont val="돋움"/>
            <family val="3"/>
            <charset val="129"/>
          </rPr>
          <t>노란색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음영셀은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편집하지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것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수식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포함</t>
        </r>
        <r>
          <rPr>
            <sz val="9"/>
            <color indexed="81"/>
            <rFont val="Tahoma"/>
            <family val="2"/>
          </rPr>
          <t xml:space="preserve">)
</t>
        </r>
        <r>
          <rPr>
            <sz val="9"/>
            <color indexed="81"/>
            <rFont val="돋움"/>
            <family val="3"/>
            <charset val="129"/>
          </rPr>
          <t>단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소계를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반드시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확인하기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바라며</t>
        </r>
        <r>
          <rPr>
            <sz val="9"/>
            <color indexed="81"/>
            <rFont val="Tahoma"/>
            <family val="2"/>
          </rPr>
          <t xml:space="preserve">,
</t>
        </r>
        <r>
          <rPr>
            <sz val="9"/>
            <color indexed="81"/>
            <rFont val="돋움"/>
            <family val="3"/>
            <charset val="129"/>
          </rPr>
          <t>셀병합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셀추가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셀삭제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등으로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소계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오류가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나오는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반드시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바르게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수정·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제출할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것</t>
        </r>
      </text>
    </comment>
  </commentList>
</comments>
</file>

<file path=xl/sharedStrings.xml><?xml version="1.0" encoding="utf-8"?>
<sst xmlns="http://schemas.openxmlformats.org/spreadsheetml/2006/main" count="2445" uniqueCount="634">
  <si>
    <t>교과(군)</t>
  </si>
  <si>
    <t>과목
유형</t>
  </si>
  <si>
    <t>과목</t>
  </si>
  <si>
    <t>기본
학점</t>
  </si>
  <si>
    <t>운영
학점</t>
  </si>
  <si>
    <t>1학년</t>
  </si>
  <si>
    <t>2학년</t>
  </si>
  <si>
    <t>3학년</t>
  </si>
  <si>
    <t>편성학점 합</t>
  </si>
  <si>
    <t>성적처리 유형</t>
  </si>
  <si>
    <t>1학기</t>
  </si>
  <si>
    <t>2학기</t>
  </si>
  <si>
    <t>선택군</t>
  </si>
  <si>
    <t>학
교
지
정
과
목</t>
  </si>
  <si>
    <t>국어</t>
  </si>
  <si>
    <t>공통</t>
  </si>
  <si>
    <t>공통국어1</t>
  </si>
  <si>
    <t>성취도 5단계+석차등급O</t>
  </si>
  <si>
    <t>공통국어2</t>
  </si>
  <si>
    <t>일반</t>
  </si>
  <si>
    <t>수학</t>
  </si>
  <si>
    <t>공통수학1</t>
  </si>
  <si>
    <t>공통수학2</t>
  </si>
  <si>
    <t>영어</t>
  </si>
  <si>
    <t>공통영어1</t>
  </si>
  <si>
    <t>공통영어2</t>
  </si>
  <si>
    <t>한국사1</t>
  </si>
  <si>
    <t>한국사2</t>
  </si>
  <si>
    <t>통합사회1</t>
  </si>
  <si>
    <t>통합사회2</t>
  </si>
  <si>
    <t>통합과학1</t>
  </si>
  <si>
    <t>통합과학2</t>
  </si>
  <si>
    <t>과학탐구실험1</t>
  </si>
  <si>
    <t>성취도 3단계</t>
  </si>
  <si>
    <t>과학탐구실험2</t>
  </si>
  <si>
    <t>체육1</t>
  </si>
  <si>
    <t>체육2</t>
  </si>
  <si>
    <t>진로</t>
  </si>
  <si>
    <t>융합</t>
  </si>
  <si>
    <t>기술·가정</t>
  </si>
  <si>
    <t>정보</t>
  </si>
  <si>
    <t>학교 지정 과목 교과 이수 학점 소계</t>
  </si>
  <si>
    <t>선택군A</t>
  </si>
  <si>
    <t>선택군B</t>
  </si>
  <si>
    <t>선택군C</t>
  </si>
  <si>
    <t>선택군D</t>
  </si>
  <si>
    <t>선택군E</t>
  </si>
  <si>
    <t>성취도 5단계+석차등급X</t>
  </si>
  <si>
    <t>선택군F</t>
  </si>
  <si>
    <t>선택군G</t>
  </si>
  <si>
    <t>이수/미이수</t>
  </si>
  <si>
    <t>선택군H</t>
  </si>
  <si>
    <t>학생 선택 과목 교과 이수 학점 소계</t>
  </si>
  <si>
    <t>총 교과 이수 학점 소계</t>
  </si>
  <si>
    <t>창의적 체험활동</t>
  </si>
  <si>
    <t>이수 학점 총계</t>
  </si>
  <si>
    <t>과학</t>
    <phoneticPr fontId="15" type="noConversion"/>
  </si>
  <si>
    <t>사회</t>
    <phoneticPr fontId="15" type="noConversion"/>
  </si>
  <si>
    <t>교과(군)</t>
    <phoneticPr fontId="16" type="noConversion"/>
  </si>
  <si>
    <t>구분</t>
    <phoneticPr fontId="16" type="noConversion"/>
  </si>
  <si>
    <t>과목명</t>
    <phoneticPr fontId="16" type="noConversion"/>
  </si>
  <si>
    <t>성적 처리 유형</t>
    <phoneticPr fontId="16" type="noConversion"/>
  </si>
  <si>
    <t>국어</t>
    <phoneticPr fontId="16" type="noConversion"/>
  </si>
  <si>
    <t>공통국어1</t>
    <phoneticPr fontId="16" type="noConversion"/>
  </si>
  <si>
    <t>3~4</t>
    <phoneticPr fontId="16" type="noConversion"/>
  </si>
  <si>
    <t>공통국어2</t>
    <phoneticPr fontId="16" type="noConversion"/>
  </si>
  <si>
    <t>화법과 언어</t>
    <phoneticPr fontId="16" type="noConversion"/>
  </si>
  <si>
    <t>3~5</t>
    <phoneticPr fontId="16" type="noConversion"/>
  </si>
  <si>
    <t>독서와 작문</t>
    <phoneticPr fontId="16" type="noConversion"/>
  </si>
  <si>
    <t>문학</t>
    <phoneticPr fontId="16" type="noConversion"/>
  </si>
  <si>
    <t>주제 탐구 독서</t>
    <phoneticPr fontId="16" type="noConversion"/>
  </si>
  <si>
    <t>문학과 영상</t>
    <phoneticPr fontId="16" type="noConversion"/>
  </si>
  <si>
    <t>직무 의사소통</t>
    <phoneticPr fontId="16" type="noConversion"/>
  </si>
  <si>
    <t>독서 토론과 글쓰기</t>
    <phoneticPr fontId="16" type="noConversion"/>
  </si>
  <si>
    <t>매체 의사소통</t>
    <phoneticPr fontId="16" type="noConversion"/>
  </si>
  <si>
    <t>언어생활 탐구</t>
    <phoneticPr fontId="16" type="noConversion"/>
  </si>
  <si>
    <t>수학</t>
    <phoneticPr fontId="16" type="noConversion"/>
  </si>
  <si>
    <t>공통수학1</t>
    <phoneticPr fontId="16" type="noConversion"/>
  </si>
  <si>
    <t>공통수학2</t>
    <phoneticPr fontId="16" type="noConversion"/>
  </si>
  <si>
    <t>기본수학1</t>
    <phoneticPr fontId="16" type="noConversion"/>
  </si>
  <si>
    <t>기본수학2</t>
  </si>
  <si>
    <t>대수</t>
    <phoneticPr fontId="16" type="noConversion"/>
  </si>
  <si>
    <t>미적분Ⅰ</t>
    <phoneticPr fontId="16" type="noConversion"/>
  </si>
  <si>
    <t>확률과 통계</t>
    <phoneticPr fontId="16" type="noConversion"/>
  </si>
  <si>
    <t>기하</t>
    <phoneticPr fontId="16" type="noConversion"/>
  </si>
  <si>
    <t>미적분Ⅱ</t>
    <phoneticPr fontId="16" type="noConversion"/>
  </si>
  <si>
    <t>경제 수학</t>
    <phoneticPr fontId="16" type="noConversion"/>
  </si>
  <si>
    <t>인공지능 수학</t>
    <phoneticPr fontId="16" type="noConversion"/>
  </si>
  <si>
    <t>직무 수학</t>
    <phoneticPr fontId="16" type="noConversion"/>
  </si>
  <si>
    <t>수학과 문화</t>
    <phoneticPr fontId="16" type="noConversion"/>
  </si>
  <si>
    <t>실용 통계</t>
    <phoneticPr fontId="16" type="noConversion"/>
  </si>
  <si>
    <t>수학과제 탐구</t>
    <phoneticPr fontId="16" type="noConversion"/>
  </si>
  <si>
    <t>영어</t>
    <phoneticPr fontId="16" type="noConversion"/>
  </si>
  <si>
    <t>공통영어1</t>
    <phoneticPr fontId="16" type="noConversion"/>
  </si>
  <si>
    <t>기본영어1</t>
    <phoneticPr fontId="16" type="noConversion"/>
  </si>
  <si>
    <t>기본영어2</t>
  </si>
  <si>
    <t>영어Ⅰ</t>
    <phoneticPr fontId="16" type="noConversion"/>
  </si>
  <si>
    <t>영어Ⅱ</t>
    <phoneticPr fontId="16" type="noConversion"/>
  </si>
  <si>
    <t>영어 독해와 작문</t>
    <phoneticPr fontId="16" type="noConversion"/>
  </si>
  <si>
    <t>영미 문학 읽기</t>
    <phoneticPr fontId="16" type="noConversion"/>
  </si>
  <si>
    <t>영어 발표와 토론</t>
    <phoneticPr fontId="16" type="noConversion"/>
  </si>
  <si>
    <t>심화 영어</t>
    <phoneticPr fontId="16" type="noConversion"/>
  </si>
  <si>
    <t>심화 영어 독해와 작문</t>
    <phoneticPr fontId="16" type="noConversion"/>
  </si>
  <si>
    <t>직무 영어</t>
    <phoneticPr fontId="16" type="noConversion"/>
  </si>
  <si>
    <t>실생활 영어 회화</t>
    <phoneticPr fontId="16" type="noConversion"/>
  </si>
  <si>
    <t>미디어 영어</t>
    <phoneticPr fontId="16" type="noConversion"/>
  </si>
  <si>
    <t>세계 문화와 영어</t>
    <phoneticPr fontId="16" type="noConversion"/>
  </si>
  <si>
    <t>한국사1</t>
    <phoneticPr fontId="16" type="noConversion"/>
  </si>
  <si>
    <t>통합사회1</t>
    <phoneticPr fontId="16" type="noConversion"/>
  </si>
  <si>
    <t>세계시민과 지리</t>
    <phoneticPr fontId="16" type="noConversion"/>
  </si>
  <si>
    <t>세계사</t>
    <phoneticPr fontId="16" type="noConversion"/>
  </si>
  <si>
    <t>사회와 문화</t>
    <phoneticPr fontId="16" type="noConversion"/>
  </si>
  <si>
    <t>현대사회와 윤리</t>
    <phoneticPr fontId="16" type="noConversion"/>
  </si>
  <si>
    <t>한국지리 탐구</t>
    <phoneticPr fontId="16" type="noConversion"/>
  </si>
  <si>
    <t>도시의 미래 탐구</t>
    <phoneticPr fontId="16" type="noConversion"/>
  </si>
  <si>
    <t>동아시아 역사 기행</t>
    <phoneticPr fontId="16" type="noConversion"/>
  </si>
  <si>
    <t>정치</t>
    <phoneticPr fontId="16" type="noConversion"/>
  </si>
  <si>
    <t>법과 사회</t>
    <phoneticPr fontId="16" type="noConversion"/>
  </si>
  <si>
    <t>경제</t>
    <phoneticPr fontId="16" type="noConversion"/>
  </si>
  <si>
    <t>윤리와 사상</t>
    <phoneticPr fontId="16" type="noConversion"/>
  </si>
  <si>
    <t>인문학과 윤리</t>
    <phoneticPr fontId="16" type="noConversion"/>
  </si>
  <si>
    <t>국제 관계의 이해</t>
    <phoneticPr fontId="16" type="noConversion"/>
  </si>
  <si>
    <t>여행지리</t>
    <phoneticPr fontId="16" type="noConversion"/>
  </si>
  <si>
    <t>역사로 탐구하는 현대 세계</t>
    <phoneticPr fontId="16" type="noConversion"/>
  </si>
  <si>
    <t>사회문제 탐구</t>
    <phoneticPr fontId="16" type="noConversion"/>
  </si>
  <si>
    <t>금융과 경제생활</t>
    <phoneticPr fontId="16" type="noConversion"/>
  </si>
  <si>
    <t>윤리문제 탐구</t>
    <phoneticPr fontId="16" type="noConversion"/>
  </si>
  <si>
    <t>기후변화와 지속가능한 세계</t>
    <phoneticPr fontId="16" type="noConversion"/>
  </si>
  <si>
    <t>과학</t>
    <phoneticPr fontId="16" type="noConversion"/>
  </si>
  <si>
    <t>통합과학1</t>
    <phoneticPr fontId="16" type="noConversion"/>
  </si>
  <si>
    <t>과학탐구실험1</t>
    <phoneticPr fontId="16" type="noConversion"/>
  </si>
  <si>
    <t>물리학</t>
    <phoneticPr fontId="16" type="noConversion"/>
  </si>
  <si>
    <t>화학</t>
    <phoneticPr fontId="16" type="noConversion"/>
  </si>
  <si>
    <t>생명과학</t>
    <phoneticPr fontId="16" type="noConversion"/>
  </si>
  <si>
    <t>지구과학</t>
    <phoneticPr fontId="16" type="noConversion"/>
  </si>
  <si>
    <t>역학과 에너지</t>
    <phoneticPr fontId="16" type="noConversion"/>
  </si>
  <si>
    <t>전자기와 양자</t>
    <phoneticPr fontId="16" type="noConversion"/>
  </si>
  <si>
    <t>물질과 에너지</t>
    <phoneticPr fontId="16" type="noConversion"/>
  </si>
  <si>
    <t>화학 반응의 세계</t>
    <phoneticPr fontId="16" type="noConversion"/>
  </si>
  <si>
    <t>세포와 물질대사</t>
    <phoneticPr fontId="16" type="noConversion"/>
  </si>
  <si>
    <t>생물의 유전</t>
    <phoneticPr fontId="16" type="noConversion"/>
  </si>
  <si>
    <t>지구시스템과학</t>
    <phoneticPr fontId="16" type="noConversion"/>
  </si>
  <si>
    <t>행성우주과학</t>
    <phoneticPr fontId="16" type="noConversion"/>
  </si>
  <si>
    <t>과학의 역사와 문화</t>
    <phoneticPr fontId="16" type="noConversion"/>
  </si>
  <si>
    <t>기후변화와 환경생태</t>
    <phoneticPr fontId="16" type="noConversion"/>
  </si>
  <si>
    <t>융합과학 탐구</t>
    <phoneticPr fontId="16" type="noConversion"/>
  </si>
  <si>
    <t>체육</t>
    <phoneticPr fontId="16" type="noConversion"/>
  </si>
  <si>
    <t>체육1</t>
    <phoneticPr fontId="16" type="noConversion"/>
  </si>
  <si>
    <t>2~4</t>
    <phoneticPr fontId="16" type="noConversion"/>
  </si>
  <si>
    <t>체육2</t>
    <phoneticPr fontId="16" type="noConversion"/>
  </si>
  <si>
    <t>운동과 건강</t>
    <phoneticPr fontId="16" type="noConversion"/>
  </si>
  <si>
    <t>스포츠 문화</t>
    <phoneticPr fontId="16" type="noConversion"/>
  </si>
  <si>
    <t>1~2</t>
    <phoneticPr fontId="16" type="noConversion"/>
  </si>
  <si>
    <t>스포츠 과학</t>
    <phoneticPr fontId="16" type="noConversion"/>
  </si>
  <si>
    <t>스포츠 생활1</t>
    <phoneticPr fontId="16" type="noConversion"/>
  </si>
  <si>
    <t>스포츠 생활2</t>
    <phoneticPr fontId="16" type="noConversion"/>
  </si>
  <si>
    <t>예술</t>
    <phoneticPr fontId="16" type="noConversion"/>
  </si>
  <si>
    <t>음악</t>
    <phoneticPr fontId="16" type="noConversion"/>
  </si>
  <si>
    <t>미술</t>
    <phoneticPr fontId="16" type="noConversion"/>
  </si>
  <si>
    <t>연극</t>
    <phoneticPr fontId="16" type="noConversion"/>
  </si>
  <si>
    <t>음악 연주와 창작</t>
    <phoneticPr fontId="16" type="noConversion"/>
  </si>
  <si>
    <t>음악 감상과 비평</t>
    <phoneticPr fontId="16" type="noConversion"/>
  </si>
  <si>
    <t>미술 창작</t>
    <phoneticPr fontId="16" type="noConversion"/>
  </si>
  <si>
    <t>미술 감상과 비평</t>
    <phoneticPr fontId="16" type="noConversion"/>
  </si>
  <si>
    <t>음악과 미디어</t>
    <phoneticPr fontId="16" type="noConversion"/>
  </si>
  <si>
    <t>미술과 매체</t>
    <phoneticPr fontId="16" type="noConversion"/>
  </si>
  <si>
    <t>기술·가정</t>
    <phoneticPr fontId="16" type="noConversion"/>
  </si>
  <si>
    <t>로봇과 공학세계</t>
    <phoneticPr fontId="16" type="noConversion"/>
  </si>
  <si>
    <t>생활과학 탐구</t>
    <phoneticPr fontId="16" type="noConversion"/>
  </si>
  <si>
    <t>창의 공학 설계</t>
    <phoneticPr fontId="16" type="noConversion"/>
  </si>
  <si>
    <t>지식 재산 일반</t>
    <phoneticPr fontId="16" type="noConversion"/>
  </si>
  <si>
    <t>생애 설계와 자립</t>
    <phoneticPr fontId="16" type="noConversion"/>
  </si>
  <si>
    <t>아동발달과 부모</t>
    <phoneticPr fontId="16" type="noConversion"/>
  </si>
  <si>
    <t>정보</t>
    <phoneticPr fontId="16" type="noConversion"/>
  </si>
  <si>
    <t>인공지능 기초</t>
    <phoneticPr fontId="16" type="noConversion"/>
  </si>
  <si>
    <t>데이터 과학</t>
    <phoneticPr fontId="16" type="noConversion"/>
  </si>
  <si>
    <t>소프트웨어와 생활</t>
    <phoneticPr fontId="16" type="noConversion"/>
  </si>
  <si>
    <t>독일어</t>
    <phoneticPr fontId="16" type="noConversion"/>
  </si>
  <si>
    <t>프랑스어</t>
    <phoneticPr fontId="16" type="noConversion"/>
  </si>
  <si>
    <t>스페인어</t>
    <phoneticPr fontId="16" type="noConversion"/>
  </si>
  <si>
    <t>중국어</t>
    <phoneticPr fontId="16" type="noConversion"/>
  </si>
  <si>
    <t>일본어</t>
    <phoneticPr fontId="16" type="noConversion"/>
  </si>
  <si>
    <t>러시아어</t>
    <phoneticPr fontId="16" type="noConversion"/>
  </si>
  <si>
    <t>아랍어</t>
    <phoneticPr fontId="16" type="noConversion"/>
  </si>
  <si>
    <t>베트남어</t>
    <phoneticPr fontId="16" type="noConversion"/>
  </si>
  <si>
    <t>독일어 회화</t>
    <phoneticPr fontId="16" type="noConversion"/>
  </si>
  <si>
    <t>프랑스어 회화</t>
    <phoneticPr fontId="16" type="noConversion"/>
  </si>
  <si>
    <t>스페인어 회화</t>
    <phoneticPr fontId="16" type="noConversion"/>
  </si>
  <si>
    <t>중국어 회화</t>
    <phoneticPr fontId="16" type="noConversion"/>
  </si>
  <si>
    <t>일본어 회화</t>
    <phoneticPr fontId="16" type="noConversion"/>
  </si>
  <si>
    <t>러시아어 회화</t>
    <phoneticPr fontId="16" type="noConversion"/>
  </si>
  <si>
    <t>아랍어 회화</t>
    <phoneticPr fontId="16" type="noConversion"/>
  </si>
  <si>
    <t>베트남어 회화</t>
    <phoneticPr fontId="16" type="noConversion"/>
  </si>
  <si>
    <t>심화 독일어</t>
    <phoneticPr fontId="16" type="noConversion"/>
  </si>
  <si>
    <t>심화 프랑스어</t>
    <phoneticPr fontId="16" type="noConversion"/>
  </si>
  <si>
    <t>심화 스페인어</t>
    <phoneticPr fontId="16" type="noConversion"/>
  </si>
  <si>
    <t>심화 중국어</t>
    <phoneticPr fontId="16" type="noConversion"/>
  </si>
  <si>
    <t>심화 일본어</t>
    <phoneticPr fontId="16" type="noConversion"/>
  </si>
  <si>
    <t>심화 러시아어</t>
    <phoneticPr fontId="16" type="noConversion"/>
  </si>
  <si>
    <t>심화 아랍어</t>
    <phoneticPr fontId="16" type="noConversion"/>
  </si>
  <si>
    <t>심화 베트남어</t>
    <phoneticPr fontId="16" type="noConversion"/>
  </si>
  <si>
    <t>독일어권 문화</t>
    <phoneticPr fontId="16" type="noConversion"/>
  </si>
  <si>
    <t>프랑스어권 문화</t>
    <phoneticPr fontId="16" type="noConversion"/>
  </si>
  <si>
    <t>스페인어권 문화</t>
    <phoneticPr fontId="16" type="noConversion"/>
  </si>
  <si>
    <t>중국 문화</t>
    <phoneticPr fontId="16" type="noConversion"/>
  </si>
  <si>
    <t>일본 문화</t>
    <phoneticPr fontId="16" type="noConversion"/>
  </si>
  <si>
    <t>러시아 문화</t>
    <phoneticPr fontId="16" type="noConversion"/>
  </si>
  <si>
    <t>아랍 문화</t>
    <phoneticPr fontId="16" type="noConversion"/>
  </si>
  <si>
    <t>베트남 문화</t>
    <phoneticPr fontId="16" type="noConversion"/>
  </si>
  <si>
    <t>한문</t>
    <phoneticPr fontId="16" type="noConversion"/>
  </si>
  <si>
    <t>한문 고전 읽기</t>
    <phoneticPr fontId="16" type="noConversion"/>
  </si>
  <si>
    <t>언어생활과 한자</t>
    <phoneticPr fontId="16" type="noConversion"/>
  </si>
  <si>
    <t>교양</t>
    <phoneticPr fontId="16" type="noConversion"/>
  </si>
  <si>
    <t>진로와 직업</t>
    <phoneticPr fontId="16" type="noConversion"/>
  </si>
  <si>
    <t>이수/미이수</t>
    <phoneticPr fontId="16" type="noConversion"/>
  </si>
  <si>
    <t>생태와 환경</t>
    <phoneticPr fontId="16" type="noConversion"/>
  </si>
  <si>
    <t>인간과 철학</t>
    <phoneticPr fontId="16" type="noConversion"/>
  </si>
  <si>
    <t>논리와 사고</t>
    <phoneticPr fontId="16" type="noConversion"/>
  </si>
  <si>
    <t>인간과 심리</t>
    <phoneticPr fontId="16" type="noConversion"/>
  </si>
  <si>
    <t>교육의 이해</t>
    <phoneticPr fontId="16" type="noConversion"/>
  </si>
  <si>
    <t>삶과 종교</t>
    <phoneticPr fontId="16" type="noConversion"/>
  </si>
  <si>
    <t>보건</t>
    <phoneticPr fontId="16" type="noConversion"/>
  </si>
  <si>
    <t>인간과 경제활동</t>
    <phoneticPr fontId="16" type="noConversion"/>
  </si>
  <si>
    <t>논술</t>
    <phoneticPr fontId="16" type="noConversion"/>
  </si>
  <si>
    <t>전문 수학</t>
    <phoneticPr fontId="16" type="noConversion"/>
  </si>
  <si>
    <t>이산 수학</t>
    <phoneticPr fontId="16" type="noConversion"/>
  </si>
  <si>
    <t>고급 기하</t>
    <phoneticPr fontId="16" type="noConversion"/>
  </si>
  <si>
    <t>고급 대수</t>
    <phoneticPr fontId="16" type="noConversion"/>
  </si>
  <si>
    <t>고급 미적분</t>
    <phoneticPr fontId="16" type="noConversion"/>
  </si>
  <si>
    <t>고급 물리학</t>
    <phoneticPr fontId="16" type="noConversion"/>
  </si>
  <si>
    <t>고급 화학</t>
    <phoneticPr fontId="16" type="noConversion"/>
  </si>
  <si>
    <t>고급 생명과학</t>
    <phoneticPr fontId="16" type="noConversion"/>
  </si>
  <si>
    <t>고급 지구과학</t>
    <phoneticPr fontId="16" type="noConversion"/>
  </si>
  <si>
    <t>과학과제 연구</t>
    <phoneticPr fontId="16" type="noConversion"/>
  </si>
  <si>
    <t>물리학 실험</t>
    <phoneticPr fontId="16" type="noConversion"/>
  </si>
  <si>
    <t>화학 실험</t>
    <phoneticPr fontId="16" type="noConversion"/>
  </si>
  <si>
    <t>생명과학 실험</t>
    <phoneticPr fontId="16" type="noConversion"/>
  </si>
  <si>
    <t>지구과학 실험</t>
    <phoneticPr fontId="16" type="noConversion"/>
  </si>
  <si>
    <t>정보과학</t>
    <phoneticPr fontId="16" type="noConversion"/>
  </si>
  <si>
    <t>스포츠 개론</t>
    <phoneticPr fontId="16" type="noConversion"/>
  </si>
  <si>
    <t>육상</t>
    <phoneticPr fontId="16" type="noConversion"/>
  </si>
  <si>
    <t>체조</t>
    <phoneticPr fontId="16" type="noConversion"/>
  </si>
  <si>
    <t>수상 스포츠</t>
    <phoneticPr fontId="16" type="noConversion"/>
  </si>
  <si>
    <t>기초 체육 전공 실기</t>
    <phoneticPr fontId="16" type="noConversion"/>
  </si>
  <si>
    <t>심화 체육 전공 실기</t>
    <phoneticPr fontId="16" type="noConversion"/>
  </si>
  <si>
    <t>고급 체육 전공 실기</t>
    <phoneticPr fontId="16" type="noConversion"/>
  </si>
  <si>
    <t>스포츠 경기 체력</t>
    <phoneticPr fontId="16" type="noConversion"/>
  </si>
  <si>
    <t>스포츠 경기 기술</t>
    <phoneticPr fontId="16" type="noConversion"/>
  </si>
  <si>
    <t>스포츠 경기 분석</t>
    <phoneticPr fontId="16" type="noConversion"/>
  </si>
  <si>
    <t>스포츠 교육</t>
    <phoneticPr fontId="16" type="noConversion"/>
  </si>
  <si>
    <t>스포츠 생리의학</t>
    <phoneticPr fontId="16" type="noConversion"/>
  </si>
  <si>
    <t>스포츠 행정 및 경영</t>
    <phoneticPr fontId="16" type="noConversion"/>
  </si>
  <si>
    <t>음악 이론</t>
    <phoneticPr fontId="16" type="noConversion"/>
  </si>
  <si>
    <t>음악사</t>
    <phoneticPr fontId="16" type="noConversion"/>
  </si>
  <si>
    <t>시창·청음</t>
    <phoneticPr fontId="16" type="noConversion"/>
  </si>
  <si>
    <t>음악 전공 실기</t>
    <phoneticPr fontId="16" type="noConversion"/>
  </si>
  <si>
    <t>합창·합주</t>
    <phoneticPr fontId="16" type="noConversion"/>
  </si>
  <si>
    <t>음악 공연 실습</t>
    <phoneticPr fontId="16" type="noConversion"/>
  </si>
  <si>
    <t>미술 이론</t>
    <phoneticPr fontId="16" type="noConversion"/>
  </si>
  <si>
    <t>드로잉</t>
    <phoneticPr fontId="16" type="noConversion"/>
  </si>
  <si>
    <t>미술사</t>
    <phoneticPr fontId="16" type="noConversion"/>
  </si>
  <si>
    <t>미술 전공 실기</t>
    <phoneticPr fontId="16" type="noConversion"/>
  </si>
  <si>
    <t>조형 탐구</t>
    <phoneticPr fontId="16" type="noConversion"/>
  </si>
  <si>
    <t>무용의 이해</t>
    <phoneticPr fontId="16" type="noConversion"/>
  </si>
  <si>
    <t>무용과 몸</t>
    <phoneticPr fontId="16" type="noConversion"/>
  </si>
  <si>
    <t>무용 기초 실기</t>
    <phoneticPr fontId="16" type="noConversion"/>
  </si>
  <si>
    <t>무용 전공 실기</t>
    <phoneticPr fontId="16" type="noConversion"/>
  </si>
  <si>
    <t>안무</t>
    <phoneticPr fontId="16" type="noConversion"/>
  </si>
  <si>
    <t>무용 제작 실습</t>
    <phoneticPr fontId="16" type="noConversion"/>
  </si>
  <si>
    <t>무용 감상과 비평</t>
    <phoneticPr fontId="16" type="noConversion"/>
  </si>
  <si>
    <t>문예 창작의 이해</t>
    <phoneticPr fontId="16" type="noConversion"/>
  </si>
  <si>
    <t>문장론</t>
    <phoneticPr fontId="16" type="noConversion"/>
  </si>
  <si>
    <t>문학 감상과 비평</t>
    <phoneticPr fontId="16" type="noConversion"/>
  </si>
  <si>
    <t>시 창작</t>
    <phoneticPr fontId="16" type="noConversion"/>
  </si>
  <si>
    <t>소설 창작</t>
    <phoneticPr fontId="16" type="noConversion"/>
  </si>
  <si>
    <t>극 창작</t>
    <phoneticPr fontId="16" type="noConversion"/>
  </si>
  <si>
    <t>연극과 몸</t>
    <phoneticPr fontId="16" type="noConversion"/>
  </si>
  <si>
    <t>연극과 말</t>
    <phoneticPr fontId="16" type="noConversion"/>
  </si>
  <si>
    <t>연기</t>
    <phoneticPr fontId="16" type="noConversion"/>
  </si>
  <si>
    <t>무대 미술과 기술</t>
    <phoneticPr fontId="16" type="noConversion"/>
  </si>
  <si>
    <t>연극 제작 실습</t>
    <phoneticPr fontId="16" type="noConversion"/>
  </si>
  <si>
    <t>연극 감상과 비평</t>
    <phoneticPr fontId="16" type="noConversion"/>
  </si>
  <si>
    <t>영화의 이해</t>
    <phoneticPr fontId="16" type="noConversion"/>
  </si>
  <si>
    <t>촬영·조명</t>
    <phoneticPr fontId="16" type="noConversion"/>
  </si>
  <si>
    <t>편집·사운드</t>
    <phoneticPr fontId="16" type="noConversion"/>
  </si>
  <si>
    <t>영화 제작 실습</t>
    <phoneticPr fontId="16" type="noConversion"/>
  </si>
  <si>
    <t>영화 감상과 비평</t>
    <phoneticPr fontId="16" type="noConversion"/>
  </si>
  <si>
    <t>사진의 이해</t>
    <phoneticPr fontId="16" type="noConversion"/>
  </si>
  <si>
    <t>사진 촬영</t>
    <phoneticPr fontId="16" type="noConversion"/>
  </si>
  <si>
    <t>사진 표현 기법</t>
    <phoneticPr fontId="16" type="noConversion"/>
  </si>
  <si>
    <t>영상 제작의 이해</t>
    <phoneticPr fontId="16" type="noConversion"/>
  </si>
  <si>
    <t>사진 감상과 비평</t>
    <phoneticPr fontId="16" type="noConversion"/>
  </si>
  <si>
    <t>음악과 문화</t>
    <phoneticPr fontId="16" type="noConversion"/>
  </si>
  <si>
    <t>미술 매체 탐구</t>
    <phoneticPr fontId="16" type="noConversion"/>
  </si>
  <si>
    <t>미술과 사회</t>
    <phoneticPr fontId="16" type="noConversion"/>
  </si>
  <si>
    <t>무용과 매체</t>
    <phoneticPr fontId="16" type="noConversion"/>
  </si>
  <si>
    <t>문학과 매체</t>
    <phoneticPr fontId="16" type="noConversion"/>
  </si>
  <si>
    <t>연극과 삶</t>
    <phoneticPr fontId="16" type="noConversion"/>
  </si>
  <si>
    <t>영화와 삶</t>
    <phoneticPr fontId="16" type="noConversion"/>
  </si>
  <si>
    <t>사진과 삶</t>
    <phoneticPr fontId="16" type="noConversion"/>
  </si>
  <si>
    <t>체육</t>
    <phoneticPr fontId="15" type="noConversion"/>
  </si>
  <si>
    <t>공통국어2</t>
    <phoneticPr fontId="15" type="noConversion"/>
  </si>
  <si>
    <t>예술</t>
    <phoneticPr fontId="15" type="noConversion"/>
  </si>
  <si>
    <r>
      <t>성취도</t>
    </r>
    <r>
      <rPr>
        <sz val="10"/>
        <color theme="1"/>
        <rFont val="Calibri"/>
        <family val="2"/>
        <charset val="129"/>
        <scheme val="minor"/>
      </rPr>
      <t xml:space="preserve"> 5</t>
    </r>
    <r>
      <rPr>
        <sz val="10"/>
        <color theme="1"/>
        <rFont val="Calibri"/>
        <family val="3"/>
        <charset val="129"/>
        <scheme val="minor"/>
      </rPr>
      <t>단계</t>
    </r>
    <r>
      <rPr>
        <sz val="10"/>
        <color theme="1"/>
        <rFont val="Calibri"/>
        <family val="2"/>
        <charset val="129"/>
        <scheme val="minor"/>
      </rPr>
      <t>+</t>
    </r>
    <r>
      <rPr>
        <sz val="10"/>
        <color theme="1"/>
        <rFont val="Calibri"/>
        <family val="3"/>
        <charset val="129"/>
        <scheme val="minor"/>
      </rPr>
      <t>석차등급</t>
    </r>
    <r>
      <rPr>
        <sz val="10"/>
        <color theme="1"/>
        <rFont val="Calibri"/>
        <family val="2"/>
        <charset val="129"/>
        <scheme val="minor"/>
      </rPr>
      <t>O</t>
    </r>
  </si>
  <si>
    <r>
      <t>성취도</t>
    </r>
    <r>
      <rPr>
        <sz val="10"/>
        <color theme="1"/>
        <rFont val="Calibri"/>
        <family val="2"/>
        <charset val="129"/>
        <scheme val="minor"/>
      </rPr>
      <t xml:space="preserve"> 5</t>
    </r>
    <r>
      <rPr>
        <sz val="10"/>
        <color theme="1"/>
        <rFont val="Calibri"/>
        <family val="3"/>
        <charset val="129"/>
        <scheme val="minor"/>
      </rPr>
      <t>단계</t>
    </r>
    <r>
      <rPr>
        <sz val="10"/>
        <color theme="1"/>
        <rFont val="Calibri"/>
        <family val="2"/>
        <charset val="129"/>
        <scheme val="minor"/>
      </rPr>
      <t>+</t>
    </r>
    <r>
      <rPr>
        <sz val="10"/>
        <color theme="1"/>
        <rFont val="Calibri"/>
        <family val="3"/>
        <charset val="129"/>
        <scheme val="minor"/>
      </rPr>
      <t>석차등급</t>
    </r>
    <r>
      <rPr>
        <sz val="10"/>
        <color theme="1"/>
        <rFont val="Calibri"/>
        <family val="2"/>
        <charset val="129"/>
        <scheme val="minor"/>
      </rPr>
      <t>X</t>
    </r>
  </si>
  <si>
    <r>
      <t>성취도</t>
    </r>
    <r>
      <rPr>
        <sz val="10"/>
        <color theme="1"/>
        <rFont val="Calibri"/>
        <family val="2"/>
        <charset val="129"/>
        <scheme val="minor"/>
      </rPr>
      <t xml:space="preserve"> 3</t>
    </r>
    <r>
      <rPr>
        <sz val="10"/>
        <color theme="1"/>
        <rFont val="Calibri"/>
        <family val="3"/>
        <charset val="129"/>
        <scheme val="minor"/>
      </rPr>
      <t>단계</t>
    </r>
  </si>
  <si>
    <t>유형</t>
    <phoneticPr fontId="16" type="noConversion"/>
  </si>
  <si>
    <t>기본학점</t>
    <phoneticPr fontId="16" type="noConversion"/>
  </si>
  <si>
    <t>공통국어1</t>
    <phoneticPr fontId="15" type="noConversion"/>
  </si>
  <si>
    <t>편성 최소 학점</t>
    <phoneticPr fontId="16" type="noConversion"/>
  </si>
  <si>
    <t>편성 최대 학점</t>
    <phoneticPr fontId="16" type="noConversion"/>
  </si>
  <si>
    <r>
      <rPr>
        <b/>
        <sz val="10"/>
        <color theme="1"/>
        <rFont val="맑은 고딕"/>
        <family val="3"/>
        <charset val="129"/>
      </rPr>
      <t>편성</t>
    </r>
    <r>
      <rPr>
        <b/>
        <sz val="10"/>
        <color theme="1"/>
        <rFont val="Calibri"/>
        <family val="2"/>
        <scheme val="minor"/>
      </rPr>
      <t xml:space="preserve"> </t>
    </r>
    <r>
      <rPr>
        <b/>
        <sz val="10"/>
        <color theme="1"/>
        <rFont val="맑은 고딕"/>
        <family val="3"/>
        <charset val="129"/>
      </rPr>
      <t>학점 범위</t>
    </r>
    <phoneticPr fontId="16" type="noConversion"/>
  </si>
  <si>
    <t>영어</t>
    <phoneticPr fontId="15" type="noConversion"/>
  </si>
  <si>
    <t>Ⅰ</t>
    <phoneticPr fontId="15" type="noConversion"/>
  </si>
  <si>
    <t>Ⅱ</t>
    <phoneticPr fontId="15" type="noConversion"/>
  </si>
  <si>
    <t>심화 영어 회화Ⅰ</t>
    <phoneticPr fontId="15" type="noConversion"/>
  </si>
  <si>
    <t>심화 영어 회화Ⅱ</t>
    <phoneticPr fontId="15" type="noConversion"/>
  </si>
  <si>
    <t>심화 영어Ⅰ</t>
    <phoneticPr fontId="15" type="noConversion"/>
  </si>
  <si>
    <t>심화 영어Ⅱ</t>
    <phoneticPr fontId="15" type="noConversion"/>
  </si>
  <si>
    <t>심화 영어 독해Ⅰ</t>
    <phoneticPr fontId="15" type="noConversion"/>
  </si>
  <si>
    <t>심화 영어 독해Ⅱ</t>
    <phoneticPr fontId="15" type="noConversion"/>
  </si>
  <si>
    <t>심화 영어 작문Ⅰ</t>
    <phoneticPr fontId="15" type="noConversion"/>
  </si>
  <si>
    <t>심화 영어 작문Ⅱ</t>
    <phoneticPr fontId="15" type="noConversion"/>
  </si>
  <si>
    <t>국제 정치</t>
    <phoneticPr fontId="15" type="noConversion"/>
  </si>
  <si>
    <t>국제 경제</t>
    <phoneticPr fontId="15" type="noConversion"/>
  </si>
  <si>
    <t>국제법</t>
    <phoneticPr fontId="15" type="noConversion"/>
  </si>
  <si>
    <t>지역 이해</t>
    <phoneticPr fontId="15" type="noConversion"/>
  </si>
  <si>
    <t>한국 사회의 이해</t>
    <phoneticPr fontId="15" type="noConversion"/>
  </si>
  <si>
    <t>비교 문화</t>
    <phoneticPr fontId="15" type="noConversion"/>
  </si>
  <si>
    <t>세계 문제와 미래 사회</t>
    <phoneticPr fontId="15" type="noConversion"/>
  </si>
  <si>
    <t>국제 관계와 국제기구</t>
    <phoneticPr fontId="15" type="noConversion"/>
  </si>
  <si>
    <t>현대 세계의 변화</t>
    <phoneticPr fontId="15" type="noConversion"/>
  </si>
  <si>
    <t>사회 탐구 방법</t>
    <phoneticPr fontId="15" type="noConversion"/>
  </si>
  <si>
    <t>사회과제연구</t>
    <phoneticPr fontId="15" type="noConversion"/>
  </si>
  <si>
    <t>제2외국어</t>
    <phoneticPr fontId="15" type="noConversion"/>
  </si>
  <si>
    <t>전공 기초 독일어</t>
  </si>
  <si>
    <t>독일어 회화Ⅰ</t>
  </si>
  <si>
    <t>독일어 회화Ⅱ</t>
  </si>
  <si>
    <t>독일어 독해와 작문Ⅰ</t>
  </si>
  <si>
    <t>독일어 독해와 작문Ⅱ</t>
  </si>
  <si>
    <t>전공 기초 프랑스어</t>
  </si>
  <si>
    <t>프랑스어 회화Ⅰ</t>
  </si>
  <si>
    <t>프랑스어 회화Ⅱ</t>
  </si>
  <si>
    <t>프랑스어 독해와 작문Ⅰ</t>
    <phoneticPr fontId="16" type="noConversion"/>
  </si>
  <si>
    <t>프랑스어 독해와 작문Ⅱ</t>
  </si>
  <si>
    <t>전공 기초 스페인어</t>
  </si>
  <si>
    <t>스페인어 회화Ⅰ</t>
  </si>
  <si>
    <t>스페인어 회화Ⅱ</t>
    <phoneticPr fontId="16" type="noConversion"/>
  </si>
  <si>
    <t>스페인어 독해와 작문Ⅰ</t>
    <phoneticPr fontId="16" type="noConversion"/>
  </si>
  <si>
    <t>스페인어 독해와 작문Ⅱ</t>
  </si>
  <si>
    <t>전공 기초 중국어</t>
  </si>
  <si>
    <t>중국어 회화Ⅰ</t>
  </si>
  <si>
    <t>중국어 회화Ⅱ</t>
  </si>
  <si>
    <t>중국어 독해와 작문Ⅰ</t>
  </si>
  <si>
    <t>중국어 독해와 작문Ⅱ</t>
  </si>
  <si>
    <t>전공 기초 일본어</t>
  </si>
  <si>
    <t>일본어 회화Ⅰ</t>
  </si>
  <si>
    <t>일본어 회화Ⅱ</t>
  </si>
  <si>
    <t>일본어 독해와 작문Ⅰ</t>
  </si>
  <si>
    <t>일본어 독해와 작문Ⅱ</t>
  </si>
  <si>
    <t>전공 기초 러시아어</t>
  </si>
  <si>
    <t>러시아어 회화Ⅰ</t>
  </si>
  <si>
    <t>러시아어 회화Ⅱ</t>
  </si>
  <si>
    <t>러시아어 독해와 작문Ⅰ</t>
  </si>
  <si>
    <t>러시아어 독해와 작문Ⅱ</t>
  </si>
  <si>
    <t>전공 기초 아랍어</t>
  </si>
  <si>
    <t>아랍어 회화Ⅰ</t>
  </si>
  <si>
    <t>아랍어 회화Ⅱ</t>
    <phoneticPr fontId="16" type="noConversion"/>
  </si>
  <si>
    <t>아랍어 독해와 작문Ⅰ</t>
  </si>
  <si>
    <t>아랍어 독해와 작문Ⅱ</t>
  </si>
  <si>
    <t>전공 기초 베트남어</t>
  </si>
  <si>
    <t>베트남어 회화Ⅰ</t>
  </si>
  <si>
    <t>베트남어 회화Ⅱ</t>
  </si>
  <si>
    <t>베트남어 독해와 작문Ⅰ</t>
  </si>
  <si>
    <t>베트남어 독해와 작문Ⅱ</t>
  </si>
  <si>
    <t>제2외국어</t>
    <phoneticPr fontId="16" type="noConversion"/>
  </si>
  <si>
    <t>성취도 3단계+성취도별 분포비율</t>
  </si>
  <si>
    <r>
      <t xml:space="preserve">학교내 소인수 선택과목
또는 
학교연합 공동교육과정
</t>
    </r>
    <r>
      <rPr>
        <sz val="8"/>
        <color rgb="FFFF0000"/>
        <rFont val="Calibri"/>
        <family val="3"/>
        <charset val="129"/>
        <scheme val="minor"/>
      </rPr>
      <t>(증배운영 과목)</t>
    </r>
    <phoneticPr fontId="16" type="noConversion"/>
  </si>
  <si>
    <t>사회</t>
    <phoneticPr fontId="16" type="noConversion"/>
  </si>
  <si>
    <t>개설 여부</t>
    <phoneticPr fontId="16" type="noConversion"/>
  </si>
  <si>
    <t>1학기</t>
    <phoneticPr fontId="16" type="noConversion"/>
  </si>
  <si>
    <t>2학기</t>
    <phoneticPr fontId="16" type="noConversion"/>
  </si>
  <si>
    <t>O</t>
  </si>
  <si>
    <t>X</t>
  </si>
  <si>
    <t>구
분</t>
    <phoneticPr fontId="16" type="noConversion"/>
  </si>
  <si>
    <t>교과
영역</t>
    <phoneticPr fontId="16" type="noConversion"/>
  </si>
  <si>
    <t>과목
유형</t>
    <phoneticPr fontId="16" type="noConversion"/>
  </si>
  <si>
    <t>과목</t>
    <phoneticPr fontId="16" type="noConversion"/>
  </si>
  <si>
    <t>1학년</t>
    <phoneticPr fontId="16" type="noConversion"/>
  </si>
  <si>
    <t>2학년</t>
    <phoneticPr fontId="16" type="noConversion"/>
  </si>
  <si>
    <t>3학년</t>
    <phoneticPr fontId="16" type="noConversion"/>
  </si>
  <si>
    <t>성적처리 유형</t>
    <phoneticPr fontId="16" type="noConversion"/>
  </si>
  <si>
    <t>일반</t>
    <phoneticPr fontId="16" type="noConversion"/>
  </si>
  <si>
    <t>한국사</t>
    <phoneticPr fontId="16" type="noConversion"/>
  </si>
  <si>
    <t>탐구</t>
    <phoneticPr fontId="16" type="noConversion"/>
  </si>
  <si>
    <t>체육
·
예술</t>
    <phoneticPr fontId="16" type="noConversion"/>
  </si>
  <si>
    <t>미적분</t>
    <phoneticPr fontId="16" type="noConversion"/>
  </si>
  <si>
    <t>한국지리</t>
    <phoneticPr fontId="16" type="noConversion"/>
  </si>
  <si>
    <t>창의적 체험활동</t>
    <phoneticPr fontId="16" type="noConversion"/>
  </si>
  <si>
    <t>기본
학점</t>
    <phoneticPr fontId="16" type="noConversion"/>
  </si>
  <si>
    <t>운영
학점</t>
    <phoneticPr fontId="16" type="noConversion"/>
  </si>
  <si>
    <t>편성학점 합</t>
    <phoneticPr fontId="16" type="noConversion"/>
  </si>
  <si>
    <t>교과군</t>
    <phoneticPr fontId="16" type="noConversion"/>
  </si>
  <si>
    <t>교과영역</t>
    <phoneticPr fontId="16" type="noConversion"/>
  </si>
  <si>
    <t>학
교
지
정
과
목</t>
    <phoneticPr fontId="16" type="noConversion"/>
  </si>
  <si>
    <t>기초</t>
    <phoneticPr fontId="16" type="noConversion"/>
  </si>
  <si>
    <t>학교 지정 과목 교과 이수 학점 소계</t>
    <phoneticPr fontId="16" type="noConversion"/>
  </si>
  <si>
    <t>학
생
선
택
과
목</t>
    <phoneticPr fontId="16" type="noConversion"/>
  </si>
  <si>
    <t>선
택
군
A</t>
    <phoneticPr fontId="16" type="noConversion"/>
  </si>
  <si>
    <t>선
택
군
B</t>
    <phoneticPr fontId="16" type="noConversion"/>
  </si>
  <si>
    <t>선
택
군
C</t>
    <phoneticPr fontId="16" type="noConversion"/>
  </si>
  <si>
    <t>선
택
군
D</t>
    <phoneticPr fontId="16" type="noConversion"/>
  </si>
  <si>
    <t>선
택
군
E</t>
    <phoneticPr fontId="16" type="noConversion"/>
  </si>
  <si>
    <t>학생 선택 과목 교과 이수 학점 소계</t>
    <phoneticPr fontId="16" type="noConversion"/>
  </si>
  <si>
    <t>총 교과 이수 학점 소계</t>
    <phoneticPr fontId="16" type="noConversion"/>
  </si>
  <si>
    <t>이수 학점 총계</t>
    <phoneticPr fontId="16" type="noConversion"/>
  </si>
  <si>
    <t>교양</t>
    <phoneticPr fontId="15" type="noConversion"/>
  </si>
  <si>
    <r>
      <rPr>
        <sz val="11"/>
        <color theme="1"/>
        <rFont val="맑은 고딕"/>
        <family val="2"/>
        <charset val="129"/>
      </rPr>
      <t>학</t>
    </r>
    <r>
      <rPr>
        <sz val="11"/>
        <color theme="1"/>
        <rFont val="Calibri"/>
        <family val="2"/>
        <charset val="129"/>
        <scheme val="minor"/>
      </rPr>
      <t xml:space="preserve">
</t>
    </r>
    <r>
      <rPr>
        <sz val="11"/>
        <color theme="1"/>
        <rFont val="맑은 고딕"/>
        <family val="2"/>
        <charset val="129"/>
      </rPr>
      <t>교</t>
    </r>
    <r>
      <rPr>
        <sz val="11"/>
        <color theme="1"/>
        <rFont val="Calibri"/>
        <family val="2"/>
        <charset val="129"/>
        <scheme val="minor"/>
      </rPr>
      <t xml:space="preserve">
</t>
    </r>
    <r>
      <rPr>
        <sz val="11"/>
        <color theme="1"/>
        <rFont val="맑은 고딕"/>
        <family val="2"/>
        <charset val="129"/>
      </rPr>
      <t>지</t>
    </r>
    <r>
      <rPr>
        <sz val="11"/>
        <color theme="1"/>
        <rFont val="Calibri"/>
        <family val="2"/>
        <charset val="129"/>
        <scheme val="minor"/>
      </rPr>
      <t xml:space="preserve">
</t>
    </r>
    <r>
      <rPr>
        <sz val="11"/>
        <color theme="1"/>
        <rFont val="맑은 고딕"/>
        <family val="2"/>
        <charset val="129"/>
      </rPr>
      <t>정</t>
    </r>
    <r>
      <rPr>
        <sz val="11"/>
        <color theme="1"/>
        <rFont val="Calibri"/>
        <family val="2"/>
        <charset val="129"/>
        <scheme val="minor"/>
      </rPr>
      <t xml:space="preserve">
</t>
    </r>
    <r>
      <rPr>
        <sz val="11"/>
        <color theme="1"/>
        <rFont val="맑은 고딕"/>
        <family val="2"/>
        <charset val="129"/>
      </rPr>
      <t>과</t>
    </r>
    <r>
      <rPr>
        <sz val="11"/>
        <color theme="1"/>
        <rFont val="Calibri"/>
        <family val="2"/>
        <charset val="129"/>
        <scheme val="minor"/>
      </rPr>
      <t xml:space="preserve">
</t>
    </r>
    <r>
      <rPr>
        <sz val="11"/>
        <color theme="1"/>
        <rFont val="맑은 고딕"/>
        <family val="2"/>
        <charset val="129"/>
      </rPr>
      <t>목</t>
    </r>
    <phoneticPr fontId="15" type="noConversion"/>
  </si>
  <si>
    <r>
      <rPr>
        <sz val="11"/>
        <color theme="1"/>
        <rFont val="맑은 고딕"/>
        <family val="3"/>
        <charset val="129"/>
      </rPr>
      <t xml:space="preserve">선택군
</t>
    </r>
    <r>
      <rPr>
        <sz val="11"/>
        <color theme="1"/>
        <rFont val="Calibri"/>
        <family val="2"/>
        <scheme val="minor"/>
      </rPr>
      <t>A</t>
    </r>
    <phoneticPr fontId="16" type="noConversion"/>
  </si>
  <si>
    <t>구분</t>
    <phoneticPr fontId="15" type="noConversion"/>
  </si>
  <si>
    <r>
      <t>2026</t>
    </r>
    <r>
      <rPr>
        <sz val="16"/>
        <color theme="1"/>
        <rFont val="맑은 고딕"/>
        <family val="3"/>
        <charset val="129"/>
      </rPr>
      <t>학년도</t>
    </r>
    <r>
      <rPr>
        <sz val="16"/>
        <color theme="1"/>
        <rFont val="Calibri"/>
        <family val="2"/>
        <scheme val="minor"/>
      </rPr>
      <t xml:space="preserve"> </t>
    </r>
    <r>
      <rPr>
        <sz val="16"/>
        <color theme="1"/>
        <rFont val="맑은 고딕"/>
        <family val="3"/>
        <charset val="129"/>
      </rPr>
      <t>당해년도</t>
    </r>
    <r>
      <rPr>
        <sz val="16"/>
        <color theme="1"/>
        <rFont val="Calibri"/>
        <family val="2"/>
        <scheme val="minor"/>
      </rPr>
      <t xml:space="preserve"> </t>
    </r>
    <r>
      <rPr>
        <sz val="16"/>
        <color theme="1"/>
        <rFont val="맑은 고딕"/>
        <family val="3"/>
        <charset val="129"/>
      </rPr>
      <t>전</t>
    </r>
    <r>
      <rPr>
        <sz val="16"/>
        <color theme="1"/>
        <rFont val="Calibri"/>
        <family val="2"/>
        <scheme val="minor"/>
      </rPr>
      <t xml:space="preserve"> </t>
    </r>
    <r>
      <rPr>
        <sz val="16"/>
        <color theme="1"/>
        <rFont val="맑은 고딕"/>
        <family val="3"/>
        <charset val="129"/>
      </rPr>
      <t>학년</t>
    </r>
    <r>
      <rPr>
        <sz val="16"/>
        <color theme="1"/>
        <rFont val="Calibri"/>
        <family val="2"/>
        <scheme val="minor"/>
      </rPr>
      <t>(1, 2, 3</t>
    </r>
    <r>
      <rPr>
        <sz val="16"/>
        <color theme="1"/>
        <rFont val="맑은 고딕"/>
        <family val="3"/>
        <charset val="129"/>
      </rPr>
      <t>학년</t>
    </r>
    <r>
      <rPr>
        <sz val="16"/>
        <color theme="1"/>
        <rFont val="Calibri"/>
        <family val="2"/>
        <scheme val="minor"/>
      </rPr>
      <t xml:space="preserve">) </t>
    </r>
    <r>
      <rPr>
        <sz val="16"/>
        <color theme="1"/>
        <rFont val="맑은 고딕"/>
        <family val="3"/>
        <charset val="129"/>
      </rPr>
      <t>교육과정</t>
    </r>
    <r>
      <rPr>
        <sz val="16"/>
        <color theme="1"/>
        <rFont val="Calibri"/>
        <family val="2"/>
        <scheme val="minor"/>
      </rPr>
      <t xml:space="preserve"> </t>
    </r>
    <r>
      <rPr>
        <sz val="16"/>
        <color theme="1"/>
        <rFont val="맑은 고딕"/>
        <family val="3"/>
        <charset val="129"/>
      </rPr>
      <t>편성표</t>
    </r>
    <phoneticPr fontId="16" type="noConversion"/>
  </si>
  <si>
    <r>
      <t>2025</t>
    </r>
    <r>
      <rPr>
        <sz val="16"/>
        <color theme="1"/>
        <rFont val="맑은 고딕"/>
        <family val="3"/>
        <charset val="129"/>
      </rPr>
      <t>학년도</t>
    </r>
    <r>
      <rPr>
        <sz val="16"/>
        <color theme="1"/>
        <rFont val="Calibri"/>
        <family val="2"/>
        <scheme val="minor"/>
      </rPr>
      <t xml:space="preserve"> </t>
    </r>
    <r>
      <rPr>
        <sz val="16"/>
        <color theme="1"/>
        <rFont val="맑은 고딕"/>
        <family val="3"/>
        <charset val="129"/>
      </rPr>
      <t>입학생</t>
    </r>
    <r>
      <rPr>
        <sz val="16"/>
        <color theme="1"/>
        <rFont val="Calibri"/>
        <family val="2"/>
        <scheme val="minor"/>
      </rPr>
      <t xml:space="preserve"> 3</t>
    </r>
    <r>
      <rPr>
        <sz val="16"/>
        <color theme="1"/>
        <rFont val="맑은 고딕"/>
        <family val="3"/>
        <charset val="129"/>
      </rPr>
      <t>개년</t>
    </r>
    <r>
      <rPr>
        <sz val="16"/>
        <color theme="1"/>
        <rFont val="Calibri"/>
        <family val="2"/>
        <scheme val="minor"/>
      </rPr>
      <t xml:space="preserve"> </t>
    </r>
    <r>
      <rPr>
        <sz val="16"/>
        <color theme="1"/>
        <rFont val="맑은 고딕"/>
        <family val="3"/>
        <charset val="129"/>
      </rPr>
      <t>교육과정</t>
    </r>
    <r>
      <rPr>
        <sz val="16"/>
        <color theme="1"/>
        <rFont val="Calibri"/>
        <family val="2"/>
        <scheme val="minor"/>
      </rPr>
      <t xml:space="preserve"> </t>
    </r>
    <r>
      <rPr>
        <sz val="16"/>
        <color theme="1"/>
        <rFont val="맑은 고딕"/>
        <family val="3"/>
        <charset val="129"/>
      </rPr>
      <t>편성표</t>
    </r>
    <r>
      <rPr>
        <sz val="16"/>
        <color theme="1"/>
        <rFont val="Calibri"/>
        <family val="2"/>
        <scheme val="minor"/>
      </rPr>
      <t>(2</t>
    </r>
    <r>
      <rPr>
        <sz val="16"/>
        <color theme="1"/>
        <rFont val="맑은 고딕"/>
        <family val="3"/>
        <charset val="129"/>
      </rPr>
      <t>학년</t>
    </r>
    <r>
      <rPr>
        <sz val="16"/>
        <color theme="1"/>
        <rFont val="Calibri"/>
        <family val="2"/>
        <scheme val="minor"/>
      </rPr>
      <t>)</t>
    </r>
    <phoneticPr fontId="16" type="noConversion"/>
  </si>
  <si>
    <r>
      <t>2026</t>
    </r>
    <r>
      <rPr>
        <sz val="16"/>
        <color theme="1"/>
        <rFont val="맑은 고딕"/>
        <family val="3"/>
        <charset val="129"/>
      </rPr>
      <t>학년도</t>
    </r>
    <r>
      <rPr>
        <sz val="16"/>
        <color theme="1"/>
        <rFont val="Calibri"/>
        <family val="2"/>
        <scheme val="minor"/>
      </rPr>
      <t xml:space="preserve"> </t>
    </r>
    <r>
      <rPr>
        <sz val="16"/>
        <color theme="1"/>
        <rFont val="맑은 고딕"/>
        <family val="3"/>
        <charset val="129"/>
      </rPr>
      <t>입학생</t>
    </r>
    <r>
      <rPr>
        <sz val="16"/>
        <color theme="1"/>
        <rFont val="Calibri"/>
        <family val="2"/>
        <scheme val="minor"/>
      </rPr>
      <t xml:space="preserve"> 3</t>
    </r>
    <r>
      <rPr>
        <sz val="16"/>
        <color theme="1"/>
        <rFont val="맑은 고딕"/>
        <family val="3"/>
        <charset val="129"/>
      </rPr>
      <t>개년</t>
    </r>
    <r>
      <rPr>
        <sz val="16"/>
        <color theme="1"/>
        <rFont val="Calibri"/>
        <family val="2"/>
        <scheme val="minor"/>
      </rPr>
      <t xml:space="preserve"> </t>
    </r>
    <r>
      <rPr>
        <sz val="16"/>
        <color theme="1"/>
        <rFont val="맑은 고딕"/>
        <family val="3"/>
        <charset val="129"/>
      </rPr>
      <t>교육과정</t>
    </r>
    <r>
      <rPr>
        <sz val="16"/>
        <color theme="1"/>
        <rFont val="Calibri"/>
        <family val="2"/>
        <scheme val="minor"/>
      </rPr>
      <t xml:space="preserve"> </t>
    </r>
    <r>
      <rPr>
        <sz val="16"/>
        <color theme="1"/>
        <rFont val="맑은 고딕"/>
        <family val="3"/>
        <charset val="129"/>
      </rPr>
      <t>편성표</t>
    </r>
    <r>
      <rPr>
        <sz val="16"/>
        <color theme="1"/>
        <rFont val="Calibri"/>
        <family val="2"/>
        <scheme val="minor"/>
      </rPr>
      <t>(1</t>
    </r>
    <r>
      <rPr>
        <sz val="16"/>
        <color theme="1"/>
        <rFont val="맑은 고딕"/>
        <family val="3"/>
        <charset val="129"/>
      </rPr>
      <t>학년</t>
    </r>
    <r>
      <rPr>
        <sz val="16"/>
        <color theme="1"/>
        <rFont val="Calibri"/>
        <family val="2"/>
        <scheme val="minor"/>
      </rPr>
      <t>)</t>
    </r>
    <phoneticPr fontId="16" type="noConversion"/>
  </si>
  <si>
    <r>
      <t>웅상고등학교</t>
    </r>
    <r>
      <rPr>
        <b/>
        <sz val="12"/>
        <color rgb="FFFF0000"/>
        <rFont val="Malgun Gothic"/>
        <family val="3"/>
        <charset val="129"/>
      </rPr>
      <t>(공립)</t>
    </r>
    <phoneticPr fontId="15" type="noConversion"/>
  </si>
  <si>
    <t>독서와 작문</t>
    <phoneticPr fontId="15" type="noConversion"/>
  </si>
  <si>
    <t>문학</t>
    <phoneticPr fontId="15" type="noConversion"/>
  </si>
  <si>
    <t>화법과 언어</t>
    <phoneticPr fontId="15" type="noConversion"/>
  </si>
  <si>
    <t>대수</t>
    <phoneticPr fontId="15" type="noConversion"/>
  </si>
  <si>
    <t>미적분Ⅰ</t>
    <phoneticPr fontId="15" type="noConversion"/>
  </si>
  <si>
    <t>확률과 통계</t>
    <phoneticPr fontId="15" type="noConversion"/>
  </si>
  <si>
    <t>영어Ⅰ</t>
    <phoneticPr fontId="15" type="noConversion"/>
  </si>
  <si>
    <t>영어Ⅱ</t>
  </si>
  <si>
    <t>영어 독해와 작문</t>
    <phoneticPr fontId="15" type="noConversion"/>
  </si>
  <si>
    <t>체육1</t>
    <phoneticPr fontId="15" type="noConversion"/>
  </si>
  <si>
    <t>체육2</t>
    <phoneticPr fontId="15" type="noConversion"/>
  </si>
  <si>
    <t>스포츠 과학</t>
    <phoneticPr fontId="15" type="noConversion"/>
  </si>
  <si>
    <t>스포츠 문화</t>
    <phoneticPr fontId="15" type="noConversion"/>
  </si>
  <si>
    <t>스포츠 생활1</t>
    <phoneticPr fontId="15" type="noConversion"/>
  </si>
  <si>
    <t>스포츠 생활2</t>
    <phoneticPr fontId="15" type="noConversion"/>
  </si>
  <si>
    <t>2↔2</t>
    <phoneticPr fontId="15" type="noConversion"/>
  </si>
  <si>
    <t>음악↔미술</t>
    <phoneticPr fontId="15" type="noConversion"/>
  </si>
  <si>
    <t>기술·가정↔정보</t>
    <phoneticPr fontId="15" type="noConversion"/>
  </si>
  <si>
    <t>3↔3</t>
    <phoneticPr fontId="15" type="noConversion"/>
  </si>
  <si>
    <t>윤리와 사상</t>
    <phoneticPr fontId="15" type="noConversion"/>
  </si>
  <si>
    <t>사회와 문화</t>
    <phoneticPr fontId="15" type="noConversion"/>
  </si>
  <si>
    <t>사회</t>
  </si>
  <si>
    <t>동아시아 역사 기행</t>
    <phoneticPr fontId="15" type="noConversion"/>
  </si>
  <si>
    <t>여행지리</t>
    <phoneticPr fontId="15" type="noConversion"/>
  </si>
  <si>
    <t>도시의 미래 탐구</t>
    <phoneticPr fontId="15" type="noConversion"/>
  </si>
  <si>
    <t>과학</t>
  </si>
  <si>
    <t>물리학</t>
    <phoneticPr fontId="15" type="noConversion"/>
  </si>
  <si>
    <t>화학</t>
    <phoneticPr fontId="15" type="noConversion"/>
  </si>
  <si>
    <t>생명과학</t>
    <phoneticPr fontId="15" type="noConversion"/>
  </si>
  <si>
    <t>지구과학</t>
    <phoneticPr fontId="15" type="noConversion"/>
  </si>
  <si>
    <t>기하</t>
    <phoneticPr fontId="15" type="noConversion"/>
  </si>
  <si>
    <t>세계시민과 지리</t>
    <phoneticPr fontId="15" type="noConversion"/>
  </si>
  <si>
    <t>법과 사회</t>
    <phoneticPr fontId="15" type="noConversion"/>
  </si>
  <si>
    <t>세계사</t>
    <phoneticPr fontId="15" type="noConversion"/>
  </si>
  <si>
    <t>사회문제 탐구</t>
    <phoneticPr fontId="15" type="noConversion"/>
  </si>
  <si>
    <t>현대사회와 윤리</t>
    <phoneticPr fontId="15" type="noConversion"/>
  </si>
  <si>
    <t>역학과 에너지</t>
    <phoneticPr fontId="15" type="noConversion"/>
  </si>
  <si>
    <t>물질과 에너지</t>
    <phoneticPr fontId="15" type="noConversion"/>
  </si>
  <si>
    <t>세포와 물질대사</t>
    <phoneticPr fontId="15" type="noConversion"/>
  </si>
  <si>
    <t>지구시스템과학</t>
    <phoneticPr fontId="15" type="noConversion"/>
  </si>
  <si>
    <t>제2외국어</t>
  </si>
  <si>
    <t>일본어</t>
    <phoneticPr fontId="15" type="noConversion"/>
  </si>
  <si>
    <t>중국어</t>
    <phoneticPr fontId="15" type="noConversion"/>
  </si>
  <si>
    <t>일본어 회화</t>
    <phoneticPr fontId="15" type="noConversion"/>
  </si>
  <si>
    <t>중국어 회화</t>
    <phoneticPr fontId="15" type="noConversion"/>
  </si>
  <si>
    <t>미적분Ⅱ</t>
    <phoneticPr fontId="15" type="noConversion"/>
  </si>
  <si>
    <t>역사로 탐구하는 현대 세계</t>
    <phoneticPr fontId="15" type="noConversion"/>
  </si>
  <si>
    <t>한국지리 탐구</t>
    <phoneticPr fontId="15" type="noConversion"/>
  </si>
  <si>
    <t>정치</t>
    <phoneticPr fontId="15" type="noConversion"/>
  </si>
  <si>
    <t>윤리문제 탐구</t>
    <phoneticPr fontId="15" type="noConversion"/>
  </si>
  <si>
    <t>경제</t>
    <phoneticPr fontId="15" type="noConversion"/>
  </si>
  <si>
    <t>전자기와 양자</t>
    <phoneticPr fontId="15" type="noConversion"/>
  </si>
  <si>
    <t>화학 반응의 세계</t>
    <phoneticPr fontId="15" type="noConversion"/>
  </si>
  <si>
    <t>생물의 유전</t>
    <phoneticPr fontId="15" type="noConversion"/>
  </si>
  <si>
    <t>행성우주과학</t>
    <phoneticPr fontId="15" type="noConversion"/>
  </si>
  <si>
    <t>창의 공학 설계</t>
    <phoneticPr fontId="15" type="noConversion"/>
  </si>
  <si>
    <t>인공지능 기초</t>
    <phoneticPr fontId="15" type="noConversion"/>
  </si>
  <si>
    <t>일본 문화</t>
    <phoneticPr fontId="15" type="noConversion"/>
  </si>
  <si>
    <t>중국 문화</t>
    <phoneticPr fontId="15" type="noConversion"/>
  </si>
  <si>
    <t>예술</t>
  </si>
  <si>
    <t>교양</t>
  </si>
  <si>
    <t>음악 연주와 창작</t>
    <phoneticPr fontId="15" type="noConversion"/>
  </si>
  <si>
    <t>미술과 매체</t>
    <phoneticPr fontId="15" type="noConversion"/>
  </si>
  <si>
    <t>보건</t>
    <phoneticPr fontId="15" type="noConversion"/>
  </si>
  <si>
    <t>생태와 환경</t>
    <phoneticPr fontId="15" type="noConversion"/>
  </si>
  <si>
    <t>인간과 심리</t>
    <phoneticPr fontId="15" type="noConversion"/>
  </si>
  <si>
    <t>주제 탐구 독서</t>
    <phoneticPr fontId="15" type="noConversion"/>
  </si>
  <si>
    <t>문학과 영상</t>
    <phoneticPr fontId="15" type="noConversion"/>
  </si>
  <si>
    <t>실용 통계</t>
    <phoneticPr fontId="15" type="noConversion"/>
  </si>
  <si>
    <t>수학과 문화</t>
    <phoneticPr fontId="15" type="noConversion"/>
  </si>
  <si>
    <t>심화 영어 독해와 작문</t>
    <phoneticPr fontId="15" type="noConversion"/>
  </si>
  <si>
    <t>실생활 영어 회화</t>
    <phoneticPr fontId="15" type="noConversion"/>
  </si>
  <si>
    <t>선택군I</t>
    <phoneticPr fontId="15" type="noConversion"/>
  </si>
  <si>
    <t>선택군J</t>
    <phoneticPr fontId="15" type="noConversion"/>
  </si>
  <si>
    <t>선택군K</t>
    <phoneticPr fontId="15" type="noConversion"/>
  </si>
  <si>
    <t>국제 관계의 이해</t>
    <phoneticPr fontId="15" type="noConversion"/>
  </si>
  <si>
    <t>기후변화와 지속가능한 세계</t>
    <phoneticPr fontId="15" type="noConversion"/>
  </si>
  <si>
    <t>인문학과 윤리</t>
    <phoneticPr fontId="15" type="noConversion"/>
  </si>
  <si>
    <t>과학의 역사와 문화</t>
    <phoneticPr fontId="15" type="noConversion"/>
  </si>
  <si>
    <t>기후변화와 환경생태</t>
    <phoneticPr fontId="15" type="noConversion"/>
  </si>
  <si>
    <t>융합과학 탐구</t>
    <phoneticPr fontId="15" type="noConversion"/>
  </si>
  <si>
    <t>지식 재산 일반</t>
    <phoneticPr fontId="15" type="noConversion"/>
  </si>
  <si>
    <t>소프트웨어와 생활</t>
    <phoneticPr fontId="15" type="noConversion"/>
  </si>
  <si>
    <t>심화 일본어</t>
    <phoneticPr fontId="15" type="noConversion"/>
  </si>
  <si>
    <t>심화 중국어</t>
    <phoneticPr fontId="15" type="noConversion"/>
  </si>
  <si>
    <t>음악과 미디어</t>
    <phoneticPr fontId="15" type="noConversion"/>
  </si>
  <si>
    <t>미술 창작</t>
    <phoneticPr fontId="15" type="noConversion"/>
  </si>
  <si>
    <t>인간과 철학</t>
    <phoneticPr fontId="15" type="noConversion"/>
  </si>
  <si>
    <t>논리와 사고</t>
    <phoneticPr fontId="15" type="noConversion"/>
  </si>
  <si>
    <t>인간과 경제활동</t>
    <phoneticPr fontId="15" type="noConversion"/>
  </si>
  <si>
    <r>
      <rPr>
        <b/>
        <sz val="12"/>
        <color rgb="FF0000FF"/>
        <rFont val="Calibri"/>
        <family val="3"/>
        <charset val="129"/>
        <scheme val="minor"/>
      </rPr>
      <t>웅상 고등학교</t>
    </r>
    <r>
      <rPr>
        <b/>
        <sz val="12"/>
        <color theme="1"/>
        <rFont val="Calibri"/>
        <family val="3"/>
        <charset val="129"/>
        <scheme val="minor"/>
      </rPr>
      <t>(</t>
    </r>
    <r>
      <rPr>
        <b/>
        <sz val="12"/>
        <color rgb="FFFF0000"/>
        <rFont val="Calibri"/>
        <family val="3"/>
        <charset val="129"/>
        <scheme val="minor"/>
      </rPr>
      <t>공립</t>
    </r>
    <r>
      <rPr>
        <b/>
        <sz val="12"/>
        <color theme="1"/>
        <rFont val="Calibri"/>
        <family val="3"/>
        <charset val="129"/>
        <scheme val="minor"/>
      </rPr>
      <t>)</t>
    </r>
    <phoneticPr fontId="16" type="noConversion"/>
  </si>
  <si>
    <t>독서</t>
    <phoneticPr fontId="16" type="noConversion"/>
  </si>
  <si>
    <t>확률과통계</t>
    <phoneticPr fontId="16" type="noConversion"/>
  </si>
  <si>
    <t>공통사회</t>
    <phoneticPr fontId="16" type="noConversion"/>
  </si>
  <si>
    <t>공통과학</t>
    <phoneticPr fontId="16" type="noConversion"/>
  </si>
  <si>
    <t>과학탐구실험</t>
    <phoneticPr fontId="16" type="noConversion"/>
  </si>
  <si>
    <t>운동과건강</t>
    <phoneticPr fontId="16" type="noConversion"/>
  </si>
  <si>
    <t>미술창작</t>
    <phoneticPr fontId="16" type="noConversion"/>
  </si>
  <si>
    <t>기술가정</t>
    <phoneticPr fontId="16" type="noConversion"/>
  </si>
  <si>
    <t>세계지리</t>
    <phoneticPr fontId="16" type="noConversion"/>
  </si>
  <si>
    <t>생활과윤리</t>
    <phoneticPr fontId="16" type="noConversion"/>
  </si>
  <si>
    <t>정치와법</t>
    <phoneticPr fontId="16" type="noConversion"/>
  </si>
  <si>
    <t>화법과작문</t>
    <phoneticPr fontId="16" type="noConversion"/>
  </si>
  <si>
    <t>언어와매체</t>
    <phoneticPr fontId="16" type="noConversion"/>
  </si>
  <si>
    <t>심화국어</t>
    <phoneticPr fontId="16" type="noConversion"/>
  </si>
  <si>
    <t>수학과제탐구</t>
    <phoneticPr fontId="16" type="noConversion"/>
  </si>
  <si>
    <t>영어독해와작문</t>
    <phoneticPr fontId="16" type="noConversion"/>
  </si>
  <si>
    <t>영어회화</t>
    <phoneticPr fontId="16" type="noConversion"/>
  </si>
  <si>
    <t>진로영어</t>
    <phoneticPr fontId="16" type="noConversion"/>
  </si>
  <si>
    <t>사회문화</t>
    <phoneticPr fontId="16" type="noConversion"/>
  </si>
  <si>
    <t>동아시아사</t>
    <phoneticPr fontId="16" type="noConversion"/>
  </si>
  <si>
    <t>윤리와사상</t>
    <phoneticPr fontId="16" type="noConversion"/>
  </si>
  <si>
    <t>고전과윤리</t>
    <phoneticPr fontId="16" type="noConversion"/>
  </si>
  <si>
    <t>생활과과학</t>
    <phoneticPr fontId="16" type="noConversion"/>
  </si>
  <si>
    <t>과학사</t>
    <phoneticPr fontId="16" type="noConversion"/>
  </si>
  <si>
    <t>선
택
군
F</t>
    <phoneticPr fontId="16" type="noConversion"/>
  </si>
  <si>
    <t>교육학</t>
    <phoneticPr fontId="16" type="noConversion"/>
  </si>
  <si>
    <t>심리학</t>
    <phoneticPr fontId="16" type="noConversion"/>
  </si>
  <si>
    <t>환경</t>
    <phoneticPr fontId="16" type="noConversion"/>
  </si>
  <si>
    <t>공학일반</t>
    <phoneticPr fontId="16" type="noConversion"/>
  </si>
  <si>
    <t>인공지능기초</t>
    <phoneticPr fontId="16" type="noConversion"/>
  </si>
  <si>
    <t>선
택
군
G</t>
    <phoneticPr fontId="16" type="noConversion"/>
  </si>
  <si>
    <t>현대문학감상</t>
    <phoneticPr fontId="16" type="noConversion"/>
  </si>
  <si>
    <t>경제수학</t>
    <phoneticPr fontId="16" type="noConversion"/>
  </si>
  <si>
    <t>영어권문화</t>
    <phoneticPr fontId="16" type="noConversion"/>
  </si>
  <si>
    <t>사회문제탐구</t>
    <phoneticPr fontId="16" type="noConversion"/>
  </si>
  <si>
    <t>수학Ⅰ</t>
    <phoneticPr fontId="16" type="noConversion"/>
  </si>
  <si>
    <t>수학Ⅱ</t>
    <phoneticPr fontId="16" type="noConversion"/>
  </si>
  <si>
    <r>
      <rPr>
        <sz val="11"/>
        <color theme="1"/>
        <rFont val="맑은 고딕"/>
        <family val="3"/>
        <charset val="129"/>
      </rPr>
      <t>물리학</t>
    </r>
    <r>
      <rPr>
        <sz val="11"/>
        <color theme="1"/>
        <rFont val="맑은 고딕"/>
        <family val="2"/>
        <charset val="129"/>
      </rPr>
      <t>Ⅰ</t>
    </r>
    <phoneticPr fontId="16" type="noConversion"/>
  </si>
  <si>
    <r>
      <rPr>
        <sz val="11"/>
        <color theme="1"/>
        <rFont val="맑은 고딕"/>
        <family val="3"/>
        <charset val="129"/>
      </rPr>
      <t>화학</t>
    </r>
    <r>
      <rPr>
        <sz val="11"/>
        <color theme="1"/>
        <rFont val="맑은 고딕"/>
        <family val="2"/>
        <charset val="129"/>
      </rPr>
      <t>Ⅰ</t>
    </r>
    <phoneticPr fontId="16" type="noConversion"/>
  </si>
  <si>
    <r>
      <rPr>
        <sz val="11"/>
        <color theme="1"/>
        <rFont val="맑은 고딕"/>
        <family val="3"/>
        <charset val="129"/>
      </rPr>
      <t>지구과학</t>
    </r>
    <r>
      <rPr>
        <sz val="11"/>
        <color theme="1"/>
        <rFont val="맑은 고딕"/>
        <family val="2"/>
        <charset val="129"/>
      </rPr>
      <t>Ⅰ</t>
    </r>
    <phoneticPr fontId="16" type="noConversion"/>
  </si>
  <si>
    <r>
      <rPr>
        <sz val="11"/>
        <color theme="1"/>
        <rFont val="맑은 고딕"/>
        <family val="3"/>
        <charset val="129"/>
      </rPr>
      <t>생명과학</t>
    </r>
    <r>
      <rPr>
        <sz val="11"/>
        <color theme="1"/>
        <rFont val="맑은 고딕"/>
        <family val="2"/>
        <charset val="129"/>
      </rPr>
      <t>Ⅰ</t>
    </r>
    <phoneticPr fontId="16" type="noConversion"/>
  </si>
  <si>
    <r>
      <rPr>
        <sz val="11"/>
        <color theme="1"/>
        <rFont val="맑은 고딕"/>
        <family val="3"/>
        <charset val="129"/>
      </rPr>
      <t>일본어</t>
    </r>
    <r>
      <rPr>
        <sz val="11"/>
        <color theme="1"/>
        <rFont val="맑은 고딕"/>
        <family val="2"/>
        <charset val="129"/>
      </rPr>
      <t>Ⅰ</t>
    </r>
    <phoneticPr fontId="16" type="noConversion"/>
  </si>
  <si>
    <r>
      <rPr>
        <sz val="11"/>
        <color theme="1"/>
        <rFont val="맑은 고딕"/>
        <family val="3"/>
        <charset val="129"/>
      </rPr>
      <t>중국어</t>
    </r>
    <r>
      <rPr>
        <sz val="11"/>
        <color theme="1"/>
        <rFont val="맑은 고딕"/>
        <family val="2"/>
        <charset val="129"/>
      </rPr>
      <t>Ⅰ</t>
    </r>
    <phoneticPr fontId="16" type="noConversion"/>
  </si>
  <si>
    <r>
      <rPr>
        <sz val="11"/>
        <color theme="1"/>
        <rFont val="맑은 고딕"/>
        <family val="3"/>
        <charset val="129"/>
      </rPr>
      <t>물리학</t>
    </r>
    <r>
      <rPr>
        <sz val="11"/>
        <color theme="1"/>
        <rFont val="맑은 고딕"/>
        <family val="2"/>
        <charset val="129"/>
      </rPr>
      <t>Ⅱ</t>
    </r>
    <phoneticPr fontId="16" type="noConversion"/>
  </si>
  <si>
    <r>
      <rPr>
        <sz val="11"/>
        <color theme="1"/>
        <rFont val="맑은 고딕"/>
        <family val="3"/>
        <charset val="129"/>
      </rPr>
      <t>화학</t>
    </r>
    <r>
      <rPr>
        <sz val="11"/>
        <color theme="1"/>
        <rFont val="맑은 고딕"/>
        <family val="2"/>
        <charset val="129"/>
      </rPr>
      <t>Ⅱ</t>
    </r>
    <phoneticPr fontId="16" type="noConversion"/>
  </si>
  <si>
    <r>
      <rPr>
        <sz val="11"/>
        <color theme="1"/>
        <rFont val="맑은 고딕"/>
        <family val="3"/>
        <charset val="129"/>
      </rPr>
      <t>생명과학</t>
    </r>
    <r>
      <rPr>
        <sz val="11"/>
        <color theme="1"/>
        <rFont val="맑은 고딕"/>
        <family val="2"/>
        <charset val="129"/>
      </rPr>
      <t>Ⅱ</t>
    </r>
    <phoneticPr fontId="16" type="noConversion"/>
  </si>
  <si>
    <r>
      <rPr>
        <sz val="11"/>
        <color theme="1"/>
        <rFont val="맑은 고딕"/>
        <family val="3"/>
        <charset val="129"/>
      </rPr>
      <t>지구과학</t>
    </r>
    <r>
      <rPr>
        <sz val="11"/>
        <color theme="1"/>
        <rFont val="맑은 고딕"/>
        <family val="2"/>
        <charset val="129"/>
      </rPr>
      <t>Ⅱ</t>
    </r>
    <phoneticPr fontId="16" type="noConversion"/>
  </si>
  <si>
    <r>
      <rPr>
        <sz val="11"/>
        <color theme="1"/>
        <rFont val="맑은 고딕"/>
        <family val="3"/>
        <charset val="129"/>
      </rPr>
      <t>일본어</t>
    </r>
    <r>
      <rPr>
        <sz val="11"/>
        <color theme="1"/>
        <rFont val="맑은 고딕"/>
        <family val="2"/>
        <charset val="129"/>
      </rPr>
      <t>Ⅱ</t>
    </r>
    <phoneticPr fontId="16" type="noConversion"/>
  </si>
  <si>
    <r>
      <rPr>
        <sz val="11"/>
        <color theme="1"/>
        <rFont val="맑은 고딕"/>
        <family val="3"/>
        <charset val="129"/>
      </rPr>
      <t>중국어</t>
    </r>
    <r>
      <rPr>
        <sz val="11"/>
        <color theme="1"/>
        <rFont val="맑은 고딕"/>
        <family val="2"/>
        <charset val="129"/>
      </rPr>
      <t>Ⅱ</t>
    </r>
    <phoneticPr fontId="16" type="noConversion"/>
  </si>
  <si>
    <r>
      <rPr>
        <sz val="11"/>
        <color theme="1"/>
        <rFont val="Calibri"/>
        <family val="2"/>
        <charset val="129"/>
        <scheme val="minor"/>
      </rPr>
      <t xml:space="preserve">생활
</t>
    </r>
    <r>
      <rPr>
        <sz val="11"/>
        <color theme="1"/>
        <rFont val="Calibri"/>
        <family val="2"/>
        <scheme val="minor"/>
      </rPr>
      <t xml:space="preserve">·
</t>
    </r>
    <r>
      <rPr>
        <sz val="11"/>
        <color theme="1"/>
        <rFont val="Calibri"/>
        <family val="2"/>
        <charset val="129"/>
        <scheme val="minor"/>
      </rPr>
      <t>교양</t>
    </r>
    <phoneticPr fontId="16" type="noConversion"/>
  </si>
  <si>
    <r>
      <rPr>
        <b/>
        <sz val="12"/>
        <color rgb="FF0000FF"/>
        <rFont val="Calibri"/>
        <family val="3"/>
        <charset val="129"/>
        <scheme val="minor"/>
      </rPr>
      <t>웅상고등학교</t>
    </r>
    <r>
      <rPr>
        <b/>
        <sz val="12"/>
        <color theme="1"/>
        <rFont val="Calibri"/>
        <family val="3"/>
        <charset val="129"/>
        <scheme val="minor"/>
      </rPr>
      <t>(</t>
    </r>
    <r>
      <rPr>
        <b/>
        <sz val="12"/>
        <color rgb="FFFF0000"/>
        <rFont val="Calibri"/>
        <family val="3"/>
        <charset val="129"/>
        <scheme val="minor"/>
      </rPr>
      <t>공립</t>
    </r>
    <r>
      <rPr>
        <b/>
        <sz val="12"/>
        <color theme="1"/>
        <rFont val="Calibri"/>
        <family val="3"/>
        <charset val="129"/>
        <scheme val="minor"/>
      </rPr>
      <t>)</t>
    </r>
    <phoneticPr fontId="16" type="noConversion"/>
  </si>
  <si>
    <t>운동과 건강</t>
  </si>
  <si>
    <t>일반</t>
    <phoneticPr fontId="15" type="noConversion"/>
  </si>
  <si>
    <t>선택군
B</t>
    <phoneticPr fontId="15" type="noConversion"/>
  </si>
  <si>
    <t>선택군
C</t>
    <phoneticPr fontId="16" type="noConversion"/>
  </si>
  <si>
    <t>국어</t>
    <phoneticPr fontId="15" type="noConversion"/>
  </si>
  <si>
    <t>화법과 작문</t>
  </si>
  <si>
    <t>언어와 매체</t>
  </si>
  <si>
    <t>심화 국어</t>
  </si>
  <si>
    <t>수학</t>
    <phoneticPr fontId="15" type="noConversion"/>
  </si>
  <si>
    <t>미적분</t>
  </si>
  <si>
    <t>기하</t>
  </si>
  <si>
    <t>수학과제탐구</t>
  </si>
  <si>
    <t>영어 독해와 작문</t>
  </si>
  <si>
    <t>영어 회화</t>
  </si>
  <si>
    <t>진로 영어</t>
  </si>
  <si>
    <t>선택군
D</t>
    <phoneticPr fontId="15" type="noConversion"/>
  </si>
  <si>
    <t>경제</t>
  </si>
  <si>
    <t>사회·문화</t>
  </si>
  <si>
    <t>동아시아사</t>
  </si>
  <si>
    <t xml:space="preserve">한국지리 </t>
  </si>
  <si>
    <t>윤리와 사상</t>
  </si>
  <si>
    <t>진로</t>
    <phoneticPr fontId="15" type="noConversion"/>
  </si>
  <si>
    <t xml:space="preserve">물리학Ⅱ </t>
  </si>
  <si>
    <t>화학Ⅱ</t>
  </si>
  <si>
    <t>생명과학Ⅱ</t>
  </si>
  <si>
    <t>지구과학Ⅱ</t>
  </si>
  <si>
    <t>선택군
E</t>
    <phoneticPr fontId="16" type="noConversion"/>
  </si>
  <si>
    <t>여행지리</t>
  </si>
  <si>
    <t>고전과 윤리</t>
  </si>
  <si>
    <t>생활과 과학</t>
  </si>
  <si>
    <t>과학사</t>
  </si>
  <si>
    <r>
      <t xml:space="preserve">선택군
</t>
    </r>
    <r>
      <rPr>
        <sz val="11"/>
        <color theme="1"/>
        <rFont val="Calibri"/>
        <family val="3"/>
        <charset val="129"/>
        <scheme val="minor"/>
      </rPr>
      <t>F</t>
    </r>
    <phoneticPr fontId="15" type="noConversion"/>
  </si>
  <si>
    <t>논술</t>
    <phoneticPr fontId="15" type="noConversion"/>
  </si>
  <si>
    <t>교육학</t>
    <phoneticPr fontId="15" type="noConversion"/>
  </si>
  <si>
    <t>심리학</t>
    <phoneticPr fontId="15" type="noConversion"/>
  </si>
  <si>
    <t>환경</t>
    <phoneticPr fontId="15" type="noConversion"/>
  </si>
  <si>
    <r>
      <rPr>
        <sz val="11"/>
        <color theme="1"/>
        <rFont val="Calibri"/>
        <family val="3"/>
        <charset val="129"/>
        <scheme val="minor"/>
      </rPr>
      <t>기술</t>
    </r>
    <r>
      <rPr>
        <sz val="11"/>
        <color theme="1"/>
        <rFont val="Calibri"/>
        <family val="2"/>
        <charset val="129"/>
        <scheme val="minor"/>
      </rPr>
      <t>·</t>
    </r>
    <r>
      <rPr>
        <sz val="11"/>
        <color theme="1"/>
        <rFont val="Calibri"/>
        <family val="3"/>
        <charset val="129"/>
        <scheme val="minor"/>
      </rPr>
      <t>가정</t>
    </r>
    <phoneticPr fontId="15" type="noConversion"/>
  </si>
  <si>
    <t>공학일반</t>
    <phoneticPr fontId="15" type="noConversion"/>
  </si>
  <si>
    <t>선택군
G</t>
    <phoneticPr fontId="15" type="noConversion"/>
  </si>
  <si>
    <t>현대문학감상</t>
  </si>
  <si>
    <t>경제수학</t>
  </si>
  <si>
    <t>영어권문화</t>
  </si>
  <si>
    <t>사회문제탐구</t>
  </si>
  <si>
    <t>일본어Ⅱ</t>
    <phoneticPr fontId="15" type="noConversion"/>
  </si>
  <si>
    <t>중국어Ⅱ</t>
    <phoneticPr fontId="15" type="noConversion"/>
  </si>
  <si>
    <t>인공지능기초</t>
    <phoneticPr fontId="15" type="noConversion"/>
  </si>
  <si>
    <r>
      <rPr>
        <sz val="11"/>
        <color theme="1"/>
        <rFont val="맑은 고딕"/>
        <family val="3"/>
        <charset val="129"/>
      </rPr>
      <t>기술</t>
    </r>
    <r>
      <rPr>
        <sz val="11"/>
        <color theme="1"/>
        <rFont val="Calibri"/>
        <family val="2"/>
        <charset val="129"/>
        <scheme val="minor"/>
      </rPr>
      <t>·</t>
    </r>
    <r>
      <rPr>
        <sz val="11"/>
        <color theme="1"/>
        <rFont val="맑은 고딕"/>
        <family val="3"/>
        <charset val="129"/>
      </rPr>
      <t>가정</t>
    </r>
    <r>
      <rPr>
        <sz val="11"/>
        <color theme="1"/>
        <rFont val="맑은 고딕"/>
        <family val="2"/>
        <charset val="129"/>
      </rPr>
      <t>↔</t>
    </r>
    <r>
      <rPr>
        <sz val="11"/>
        <color theme="1"/>
        <rFont val="맑은 고딕"/>
        <family val="3"/>
        <charset val="129"/>
      </rPr>
      <t>정보</t>
    </r>
    <phoneticPr fontId="15" type="noConversion"/>
  </si>
  <si>
    <r>
      <rPr>
        <sz val="11"/>
        <color theme="1"/>
        <rFont val="Calibri"/>
        <family val="3"/>
        <charset val="129"/>
        <scheme val="minor"/>
      </rPr>
      <t>수학</t>
    </r>
    <phoneticPr fontId="15" type="noConversion"/>
  </si>
  <si>
    <r>
      <rPr>
        <sz val="11"/>
        <color theme="1"/>
        <rFont val="Calibri"/>
        <family val="2"/>
        <charset val="129"/>
        <scheme val="minor"/>
      </rPr>
      <t>진로</t>
    </r>
    <phoneticPr fontId="15" type="noConversion"/>
  </si>
  <si>
    <r>
      <rPr>
        <sz val="11"/>
        <color theme="1"/>
        <rFont val="Calibri"/>
        <family val="2"/>
        <charset val="129"/>
        <scheme val="minor"/>
      </rPr>
      <t>기하</t>
    </r>
    <phoneticPr fontId="15" type="noConversion"/>
  </si>
  <si>
    <r>
      <rPr>
        <sz val="11"/>
        <color theme="1"/>
        <rFont val="Calibri"/>
        <family val="2"/>
        <charset val="129"/>
        <scheme val="minor"/>
      </rPr>
      <t>사회</t>
    </r>
    <phoneticPr fontId="15" type="noConversion"/>
  </si>
  <si>
    <t>융합</t>
    <phoneticPr fontId="15" type="noConversion"/>
  </si>
  <si>
    <t>사회문제탐구</t>
    <phoneticPr fontId="15" type="noConversion"/>
  </si>
  <si>
    <r>
      <rPr>
        <sz val="11"/>
        <color theme="1"/>
        <rFont val="Calibri"/>
        <family val="2"/>
        <charset val="129"/>
        <scheme val="minor"/>
      </rPr>
      <t>일반</t>
    </r>
    <phoneticPr fontId="15" type="noConversion"/>
  </si>
  <si>
    <r>
      <rPr>
        <sz val="11"/>
        <color theme="1"/>
        <rFont val="Calibri"/>
        <family val="2"/>
        <charset val="129"/>
        <scheme val="minor"/>
      </rPr>
      <t>융합</t>
    </r>
    <phoneticPr fontId="15" type="noConversion"/>
  </si>
  <si>
    <t>영어Ⅱ</t>
    <phoneticPr fontId="15" type="noConversion"/>
  </si>
  <si>
    <r>
      <t>2024</t>
    </r>
    <r>
      <rPr>
        <sz val="16"/>
        <color theme="1"/>
        <rFont val="맑은 고딕"/>
        <family val="3"/>
        <charset val="129"/>
      </rPr>
      <t>학년도</t>
    </r>
    <r>
      <rPr>
        <sz val="16"/>
        <color theme="1"/>
        <rFont val="Calibri"/>
        <family val="2"/>
        <scheme val="minor"/>
      </rPr>
      <t xml:space="preserve"> </t>
    </r>
    <r>
      <rPr>
        <sz val="16"/>
        <color theme="1"/>
        <rFont val="맑은 고딕"/>
        <family val="3"/>
        <charset val="129"/>
      </rPr>
      <t>입학생</t>
    </r>
    <r>
      <rPr>
        <sz val="16"/>
        <color theme="1"/>
        <rFont val="Calibri"/>
        <family val="2"/>
        <scheme val="minor"/>
      </rPr>
      <t xml:space="preserve"> 3</t>
    </r>
    <r>
      <rPr>
        <sz val="16"/>
        <color theme="1"/>
        <rFont val="맑은 고딕"/>
        <family val="3"/>
        <charset val="129"/>
      </rPr>
      <t>개년</t>
    </r>
    <r>
      <rPr>
        <sz val="16"/>
        <color theme="1"/>
        <rFont val="Calibri"/>
        <family val="2"/>
        <scheme val="minor"/>
      </rPr>
      <t xml:space="preserve"> </t>
    </r>
    <r>
      <rPr>
        <sz val="16"/>
        <color theme="1"/>
        <rFont val="맑은 고딕"/>
        <family val="3"/>
        <charset val="129"/>
      </rPr>
      <t>교육과정</t>
    </r>
    <r>
      <rPr>
        <sz val="16"/>
        <color theme="1"/>
        <rFont val="Calibri"/>
        <family val="2"/>
        <scheme val="minor"/>
      </rPr>
      <t xml:space="preserve"> </t>
    </r>
    <r>
      <rPr>
        <sz val="16"/>
        <color theme="1"/>
        <rFont val="맑은 고딕"/>
        <family val="3"/>
        <charset val="129"/>
      </rPr>
      <t>편성표</t>
    </r>
    <r>
      <rPr>
        <sz val="16"/>
        <color theme="1"/>
        <rFont val="Calibri"/>
        <family val="2"/>
        <scheme val="minor"/>
      </rPr>
      <t>(3</t>
    </r>
    <r>
      <rPr>
        <sz val="16"/>
        <color theme="1"/>
        <rFont val="맑은 고딕"/>
        <family val="3"/>
        <charset val="129"/>
      </rPr>
      <t>학년</t>
    </r>
    <r>
      <rPr>
        <sz val="16"/>
        <color theme="1"/>
        <rFont val="Calibri"/>
        <family val="2"/>
        <scheme val="minor"/>
      </rPr>
      <t>)</t>
    </r>
    <phoneticPr fontId="16" type="noConversion"/>
  </si>
  <si>
    <t>사회와 문화</t>
  </si>
  <si>
    <t>세계시민과 지리</t>
  </si>
  <si>
    <t>동아시아 역사 기행</t>
  </si>
  <si>
    <t>윤리문제 탐구</t>
  </si>
  <si>
    <t>세계사</t>
  </si>
  <si>
    <t>현대사회와 윤리</t>
  </si>
  <si>
    <t>법과 사회</t>
  </si>
  <si>
    <t>한국지리 탐구</t>
  </si>
  <si>
    <t>인문학과 윤리</t>
  </si>
  <si>
    <t>사회문제 탐구</t>
  </si>
  <si>
    <r>
      <t>2026</t>
    </r>
    <r>
      <rPr>
        <sz val="16"/>
        <color theme="1"/>
        <rFont val="맑은 고딕"/>
        <family val="3"/>
        <charset val="129"/>
      </rPr>
      <t>학년도</t>
    </r>
    <r>
      <rPr>
        <sz val="16"/>
        <color theme="1"/>
        <rFont val="Calibri"/>
        <family val="2"/>
        <scheme val="minor"/>
      </rPr>
      <t xml:space="preserve"> </t>
    </r>
    <r>
      <rPr>
        <sz val="16"/>
        <color theme="1"/>
        <rFont val="맑은 고딕"/>
        <family val="3"/>
        <charset val="129"/>
      </rPr>
      <t>입학생</t>
    </r>
    <r>
      <rPr>
        <sz val="16"/>
        <color theme="1"/>
        <rFont val="Calibri"/>
        <family val="2"/>
        <scheme val="minor"/>
      </rPr>
      <t xml:space="preserve"> 3</t>
    </r>
    <r>
      <rPr>
        <sz val="16"/>
        <color theme="1"/>
        <rFont val="맑은 고딕"/>
        <family val="3"/>
        <charset val="129"/>
      </rPr>
      <t>개년</t>
    </r>
    <r>
      <rPr>
        <sz val="16"/>
        <color theme="1"/>
        <rFont val="Calibri"/>
        <family val="2"/>
        <scheme val="minor"/>
      </rPr>
      <t xml:space="preserve"> </t>
    </r>
    <r>
      <rPr>
        <sz val="16"/>
        <color theme="1"/>
        <rFont val="맑은 고딕"/>
        <family val="3"/>
        <charset val="129"/>
      </rPr>
      <t>교육과정</t>
    </r>
    <r>
      <rPr>
        <sz val="16"/>
        <color theme="1"/>
        <rFont val="Calibri"/>
        <family val="2"/>
        <scheme val="minor"/>
      </rPr>
      <t xml:space="preserve"> </t>
    </r>
    <r>
      <rPr>
        <sz val="16"/>
        <color theme="1"/>
        <rFont val="맑은 고딕"/>
        <family val="3"/>
        <charset val="129"/>
      </rPr>
      <t>편성표</t>
    </r>
    <r>
      <rPr>
        <sz val="16"/>
        <color theme="1"/>
        <rFont val="Calibri"/>
        <family val="2"/>
        <scheme val="minor"/>
      </rPr>
      <t>(1</t>
    </r>
    <r>
      <rPr>
        <sz val="16"/>
        <color theme="1"/>
        <rFont val="맑은 고딕"/>
        <family val="3"/>
        <charset val="129"/>
      </rPr>
      <t>학년-변경후</t>
    </r>
    <r>
      <rPr>
        <sz val="16"/>
        <color theme="1"/>
        <rFont val="Calibri"/>
        <family val="2"/>
        <scheme val="minor"/>
      </rPr>
      <t>)</t>
    </r>
    <phoneticPr fontId="1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</si>
</sst>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2">
    <font>
      <sz val="11"/>
      <color theme="1"/>
      <name val="Calibri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b/>
      <sz val="12"/>
      <color rgb="FF0000FF"/>
      <name val="Malgun Gothic"/>
      <family val="3"/>
      <charset val="129"/>
    </font>
    <font>
      <sz val="11"/>
      <name val="Calibri"/>
      <family val="2"/>
    </font>
    <font>
      <sz val="11"/>
      <color theme="1"/>
      <name val="Malgun Gothic"/>
      <family val="3"/>
      <charset val="129"/>
    </font>
    <font>
      <sz val="11"/>
      <color theme="1"/>
      <name val="Calibri"/>
      <family val="2"/>
      <scheme val="minor"/>
    </font>
    <font>
      <sz val="11"/>
      <color theme="1"/>
      <name val="맑은 고딕"/>
      <family val="3"/>
      <charset val="129"/>
    </font>
    <font>
      <sz val="11"/>
      <color theme="1"/>
      <name val="Calibri"/>
      <family val="2"/>
    </font>
    <font>
      <sz val="8"/>
      <name val="Calibri"/>
      <family val="3"/>
      <charset val="129"/>
      <scheme val="minor"/>
    </font>
    <font>
      <sz val="8"/>
      <name val="Calibri"/>
      <family val="2"/>
      <charset val="129"/>
      <scheme val="minor"/>
    </font>
    <font>
      <sz val="10"/>
      <color theme="1"/>
      <name val="Calibri"/>
      <family val="2"/>
      <charset val="129"/>
      <scheme val="minor"/>
    </font>
    <font>
      <b/>
      <sz val="12"/>
      <color theme="1"/>
      <name val="Calibri"/>
      <family val="3"/>
      <charset val="129"/>
      <scheme val="minor"/>
    </font>
    <font>
      <sz val="10"/>
      <color theme="1"/>
      <name val="Calibri"/>
      <family val="3"/>
      <charset val="129"/>
      <scheme val="minor"/>
    </font>
    <font>
      <b/>
      <sz val="10"/>
      <color theme="1"/>
      <name val="Calibri"/>
      <family val="3"/>
      <charset val="129"/>
      <scheme val="minor"/>
    </font>
    <font>
      <sz val="10"/>
      <color rgb="FF000000"/>
      <name val="Calibri"/>
      <family val="3"/>
      <charset val="129"/>
      <scheme val="minor"/>
    </font>
    <font>
      <sz val="10"/>
      <name val="Calibri"/>
      <family val="3"/>
      <charset val="129"/>
      <scheme val="minor"/>
    </font>
    <font>
      <b/>
      <sz val="12"/>
      <color rgb="FFFF0000"/>
      <name val="Malgun Gothic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0"/>
      <color theme="1"/>
      <name val="Calibri"/>
      <family val="2"/>
      <scheme val="minor"/>
    </font>
    <font>
      <b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0"/>
      <color rgb="FF000000"/>
      <name val="맑은 고딕"/>
      <family val="3"/>
      <charset val="129"/>
    </font>
    <font>
      <b/>
      <sz val="9"/>
      <color indexed="81"/>
      <name val="돋움"/>
      <family val="3"/>
      <charset val="129"/>
    </font>
    <font>
      <sz val="11"/>
      <color theme="1"/>
      <name val="Calibri"/>
      <family val="3"/>
      <charset val="129"/>
      <scheme val="minor"/>
    </font>
    <font>
      <sz val="8"/>
      <color theme="1"/>
      <name val="Calibri"/>
      <family val="3"/>
      <charset val="129"/>
      <scheme val="minor"/>
    </font>
    <font>
      <sz val="8"/>
      <color rgb="FFFF0000"/>
      <name val="Calibri"/>
      <family val="3"/>
      <charset val="129"/>
      <scheme val="minor"/>
    </font>
    <font>
      <sz val="11"/>
      <color theme="1"/>
      <name val="맑은 고딕"/>
      <family val="2"/>
      <charset val="129"/>
    </font>
    <font>
      <sz val="16"/>
      <color theme="1"/>
      <name val="Calibri"/>
      <family val="3"/>
      <charset val="129"/>
      <scheme val="minor"/>
    </font>
    <font>
      <b/>
      <sz val="12"/>
      <color rgb="FFFF0000"/>
      <name val="Calibri"/>
      <family val="3"/>
      <charset val="129"/>
      <scheme val="minor"/>
    </font>
    <font>
      <b/>
      <sz val="12"/>
      <color rgb="FF0000FF"/>
      <name val="Calibri"/>
      <family val="3"/>
      <charset val="129"/>
      <scheme val="minor"/>
    </font>
    <font>
      <sz val="16"/>
      <color theme="1"/>
      <name val="Calibri"/>
      <family val="2"/>
      <scheme val="minor"/>
    </font>
    <font>
      <sz val="16"/>
      <color theme="1"/>
      <name val="맑은 고딕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rgb="FFAEABAB"/>
        <bgColor rgb="FFAEABAB"/>
      </patternFill>
    </fill>
    <fill>
      <patternFill patternType="solid">
        <fgColor rgb="FFFFFF00"/>
        <bgColor rgb="FFFFFF00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rgb="FFFFFF00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rgb="FFFFFF00"/>
      </patternFill>
    </fill>
    <fill>
      <patternFill patternType="solid">
        <fgColor rgb="FF92D050"/>
        <bgColor indexed="64"/>
      </patternFill>
    </fill>
    <fill>
      <patternFill patternType="solid">
        <fgColor theme="2" tint="-0.24994659260841701"/>
        <bgColor indexed="64"/>
      </patternFill>
    </fill>
  </fills>
  <borders count="117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 diagonalDown="1">
      <left style="thin">
        <color auto="1"/>
      </left>
      <right style="medium">
        <color auto="1"/>
      </right>
      <top/>
      <bottom style="medium">
        <color auto="1"/>
      </bottom>
      <diagonal style="thin">
        <color auto="1"/>
      </diagonal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 diagonalDown="1">
      <left style="thin">
        <color auto="1"/>
      </left>
      <right style="thin">
        <color auto="1"/>
      </right>
      <top/>
      <bottom style="medium">
        <color auto="1"/>
      </bottom>
      <diagonal style="thin">
        <color auto="1"/>
      </diagonal>
    </border>
    <border diagonalDown="1">
      <left style="thin">
        <color auto="1"/>
      </left>
      <right style="medium">
        <color auto="1"/>
      </right>
      <top style="medium">
        <color auto="1"/>
      </top>
      <bottom style="thin">
        <color indexed="64"/>
      </bottom>
      <diagonal style="thin">
        <color auto="1"/>
      </diagonal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 diagonalDown="1">
      <left style="thin">
        <color auto="1"/>
      </left>
      <right style="thin">
        <color auto="1"/>
      </right>
      <top style="medium">
        <color auto="1"/>
      </top>
      <bottom style="thin">
        <color indexed="64"/>
      </bottom>
      <diagonal style="thin">
        <color auto="1"/>
      </diagonal>
    </border>
    <border diagonalDown="1"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 style="thin">
        <color auto="1"/>
      </diagonal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 diagonalDown="1"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 style="thin">
        <color auto="1"/>
      </diagonal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 diagonalDown="1">
      <left style="thin">
        <color auto="1"/>
      </left>
      <right/>
      <top style="medium">
        <color auto="1"/>
      </top>
      <bottom style="medium">
        <color auto="1"/>
      </bottom>
      <diagonal style="thin">
        <color auto="1"/>
      </diagonal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 diagonalDown="1">
      <left style="thin">
        <color auto="1"/>
      </left>
      <right/>
      <top style="medium">
        <color auto="1"/>
      </top>
      <bottom style="thin">
        <color indexed="64"/>
      </bottom>
      <diagonal style="thin">
        <color auto="1"/>
      </diagonal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auto="1"/>
      </right>
      <top/>
      <bottom style="medium">
        <color auto="1"/>
      </bottom>
      <diagonal/>
    </border>
    <border diagonalDown="1">
      <left style="thin">
        <color auto="1"/>
      </left>
      <right/>
      <top/>
      <bottom style="medium">
        <color auto="1"/>
      </bottom>
      <diagonal style="thin">
        <color auto="1"/>
      </diagonal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2">
    <xf numFmtId="0" fontId="0" fillId="0" borderId="0"/>
    <xf numFmtId="0" fontId="12" fillId="0" borderId="36"/>
    <xf numFmtId="0" fontId="8" fillId="0" borderId="36">
      <alignment vertical="center"/>
    </xf>
    <xf numFmtId="0" fontId="12" fillId="0" borderId="36"/>
    <xf numFmtId="0" fontId="7" fillId="0" borderId="36">
      <alignment vertical="center"/>
    </xf>
    <xf numFmtId="0" fontId="6" fillId="0" borderId="36">
      <alignment vertical="center"/>
    </xf>
    <xf numFmtId="0" fontId="5" fillId="0" borderId="36">
      <alignment vertical="center"/>
    </xf>
    <xf numFmtId="0" fontId="4" fillId="0" borderId="36">
      <alignment vertical="center"/>
    </xf>
    <xf numFmtId="0" fontId="4" fillId="0" borderId="36">
      <alignment vertical="center"/>
    </xf>
    <xf numFmtId="0" fontId="3" fillId="0" borderId="36">
      <alignment vertical="center"/>
    </xf>
    <xf numFmtId="0" fontId="2" fillId="0" borderId="36">
      <alignment vertical="center"/>
    </xf>
    <xf numFmtId="0" fontId="2" fillId="0" borderId="36">
      <alignment vertical="center"/>
    </xf>
  </cellStyleXfs>
  <cellXfs count="412">
    <xf numFmtId="0" fontId="0" fillId="0" borderId="0" xfId="0" applyAlignment="1">
      <alignment vertical="center"/>
    </xf>
    <xf numFmtId="0" fontId="11" fillId="2" borderId="9" xfId="0" applyFont="1" applyFill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11" fillId="3" borderId="23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 wrapText="1"/>
    </xf>
    <xf numFmtId="0" fontId="11" fillId="0" borderId="14" xfId="0" applyFont="1" applyBorder="1" applyAlignment="1">
      <alignment vertical="center"/>
    </xf>
    <xf numFmtId="0" fontId="11" fillId="0" borderId="10" xfId="0" applyFont="1" applyBorder="1" applyAlignment="1">
      <alignment vertical="center"/>
    </xf>
    <xf numFmtId="0" fontId="11" fillId="0" borderId="0" xfId="0" applyFont="1" applyAlignment="1">
      <alignment horizontal="center" vertical="center"/>
    </xf>
    <xf numFmtId="0" fontId="11" fillId="3" borderId="44" xfId="0" applyFont="1" applyFill="1" applyBorder="1" applyAlignment="1">
      <alignment horizontal="center" vertical="center"/>
    </xf>
    <xf numFmtId="0" fontId="11" fillId="3" borderId="45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11" fillId="3" borderId="46" xfId="0" applyFont="1" applyFill="1" applyBorder="1" applyAlignment="1">
      <alignment horizontal="center" vertical="center"/>
    </xf>
    <xf numFmtId="0" fontId="11" fillId="0" borderId="34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1" fillId="0" borderId="17" xfId="0" applyFont="1" applyBorder="1" applyAlignment="1">
      <alignment horizontal="center" vertical="center"/>
    </xf>
    <xf numFmtId="0" fontId="17" fillId="0" borderId="36" xfId="2" applyFont="1" applyAlignment="1">
      <alignment horizontal="center" vertical="center"/>
    </xf>
    <xf numFmtId="0" fontId="18" fillId="0" borderId="36" xfId="2" applyFont="1" applyAlignment="1">
      <alignment horizontal="center" vertical="center"/>
    </xf>
    <xf numFmtId="0" fontId="19" fillId="0" borderId="36" xfId="2" applyFont="1" applyAlignment="1">
      <alignment horizontal="center" vertical="center" shrinkToFit="1"/>
    </xf>
    <xf numFmtId="0" fontId="20" fillId="4" borderId="48" xfId="2" applyFont="1" applyFill="1" applyBorder="1" applyAlignment="1">
      <alignment horizontal="center" vertical="center" shrinkToFit="1"/>
    </xf>
    <xf numFmtId="0" fontId="20" fillId="4" borderId="48" xfId="2" applyFont="1" applyFill="1" applyBorder="1" applyAlignment="1">
      <alignment horizontal="center" vertical="center"/>
    </xf>
    <xf numFmtId="0" fontId="17" fillId="0" borderId="48" xfId="2" applyFont="1" applyBorder="1" applyAlignment="1">
      <alignment horizontal="center" vertical="center"/>
    </xf>
    <xf numFmtId="0" fontId="21" fillId="0" borderId="48" xfId="2" applyFont="1" applyBorder="1" applyAlignment="1">
      <alignment horizontal="center" vertical="center" shrinkToFit="1"/>
    </xf>
    <xf numFmtId="0" fontId="17" fillId="0" borderId="48" xfId="2" applyFont="1" applyBorder="1" applyAlignment="1">
      <alignment horizontal="center" vertical="center" shrinkToFit="1"/>
    </xf>
    <xf numFmtId="0" fontId="19" fillId="0" borderId="48" xfId="2" applyFont="1" applyBorder="1" applyAlignment="1">
      <alignment horizontal="center" vertical="center" shrinkToFit="1"/>
    </xf>
    <xf numFmtId="0" fontId="22" fillId="0" borderId="48" xfId="2" applyFont="1" applyBorder="1" applyAlignment="1">
      <alignment horizontal="center" vertical="center" shrinkToFit="1"/>
    </xf>
    <xf numFmtId="0" fontId="0" fillId="0" borderId="0" xfId="0" applyAlignment="1">
      <alignment vertical="center" shrinkToFit="1"/>
    </xf>
    <xf numFmtId="0" fontId="11" fillId="0" borderId="49" xfId="0" applyFont="1" applyBorder="1" applyAlignment="1">
      <alignment horizontal="center" vertical="center" shrinkToFit="1"/>
    </xf>
    <xf numFmtId="0" fontId="11" fillId="3" borderId="51" xfId="0" applyFont="1" applyFill="1" applyBorder="1" applyAlignment="1">
      <alignment horizontal="center" vertical="center" shrinkToFit="1"/>
    </xf>
    <xf numFmtId="0" fontId="11" fillId="3" borderId="52" xfId="0" applyFont="1" applyFill="1" applyBorder="1" applyAlignment="1">
      <alignment horizontal="center" vertical="center" shrinkToFit="1"/>
    </xf>
    <xf numFmtId="0" fontId="11" fillId="2" borderId="54" xfId="0" applyFont="1" applyFill="1" applyBorder="1" applyAlignment="1">
      <alignment horizontal="center" vertical="center"/>
    </xf>
    <xf numFmtId="0" fontId="11" fillId="2" borderId="50" xfId="0" applyFont="1" applyFill="1" applyBorder="1" applyAlignment="1">
      <alignment horizontal="center" vertical="center"/>
    </xf>
    <xf numFmtId="0" fontId="11" fillId="0" borderId="25" xfId="0" applyFont="1" applyBorder="1" applyAlignment="1">
      <alignment horizontal="center" vertical="center"/>
    </xf>
    <xf numFmtId="0" fontId="11" fillId="0" borderId="55" xfId="0" applyFont="1" applyBorder="1" applyAlignment="1">
      <alignment horizontal="center" vertical="center"/>
    </xf>
    <xf numFmtId="0" fontId="11" fillId="3" borderId="57" xfId="0" applyFont="1" applyFill="1" applyBorder="1" applyAlignment="1">
      <alignment horizontal="center" vertical="center"/>
    </xf>
    <xf numFmtId="0" fontId="11" fillId="3" borderId="59" xfId="0" applyFont="1" applyFill="1" applyBorder="1" applyAlignment="1">
      <alignment horizontal="center" vertical="center"/>
    </xf>
    <xf numFmtId="0" fontId="11" fillId="6" borderId="24" xfId="0" applyFont="1" applyFill="1" applyBorder="1" applyAlignment="1">
      <alignment horizontal="center" vertical="center"/>
    </xf>
    <xf numFmtId="0" fontId="11" fillId="6" borderId="4" xfId="0" applyFont="1" applyFill="1" applyBorder="1" applyAlignment="1">
      <alignment horizontal="center" vertical="center"/>
    </xf>
    <xf numFmtId="0" fontId="11" fillId="6" borderId="60" xfId="0" applyFont="1" applyFill="1" applyBorder="1" applyAlignment="1">
      <alignment horizontal="center" vertical="center"/>
    </xf>
    <xf numFmtId="0" fontId="11" fillId="6" borderId="53" xfId="0" applyFont="1" applyFill="1" applyBorder="1" applyAlignment="1">
      <alignment horizontal="center" vertical="center" shrinkToFit="1"/>
    </xf>
    <xf numFmtId="0" fontId="11" fillId="6" borderId="32" xfId="0" applyFont="1" applyFill="1" applyBorder="1" applyAlignment="1">
      <alignment horizontal="center" vertical="center"/>
    </xf>
    <xf numFmtId="0" fontId="11" fillId="6" borderId="33" xfId="0" applyFont="1" applyFill="1" applyBorder="1" applyAlignment="1">
      <alignment horizontal="center" vertical="center"/>
    </xf>
    <xf numFmtId="0" fontId="11" fillId="6" borderId="7" xfId="0" applyFont="1" applyFill="1" applyBorder="1" applyAlignment="1">
      <alignment horizontal="center" vertical="center"/>
    </xf>
    <xf numFmtId="0" fontId="11" fillId="6" borderId="37" xfId="0" applyFont="1" applyFill="1" applyBorder="1" applyAlignment="1">
      <alignment horizontal="center" vertical="center" shrinkToFit="1"/>
    </xf>
    <xf numFmtId="0" fontId="11" fillId="8" borderId="32" xfId="0" applyFont="1" applyFill="1" applyBorder="1" applyAlignment="1">
      <alignment horizontal="center" vertical="center"/>
    </xf>
    <xf numFmtId="0" fontId="11" fillId="8" borderId="33" xfId="0" applyFont="1" applyFill="1" applyBorder="1" applyAlignment="1">
      <alignment horizontal="center" vertical="center"/>
    </xf>
    <xf numFmtId="0" fontId="11" fillId="8" borderId="7" xfId="0" applyFont="1" applyFill="1" applyBorder="1" applyAlignment="1">
      <alignment horizontal="center" vertical="center"/>
    </xf>
    <xf numFmtId="0" fontId="11" fillId="8" borderId="37" xfId="0" applyFont="1" applyFill="1" applyBorder="1" applyAlignment="1">
      <alignment horizontal="center" vertical="center" shrinkToFit="1"/>
    </xf>
    <xf numFmtId="0" fontId="11" fillId="0" borderId="10" xfId="0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0" fontId="21" fillId="0" borderId="48" xfId="2" applyNumberFormat="1" applyFont="1" applyBorder="1" applyAlignment="1">
      <alignment horizontal="center" vertical="center" shrinkToFit="1"/>
    </xf>
    <xf numFmtId="0" fontId="29" fillId="0" borderId="48" xfId="2" applyFont="1" applyBorder="1" applyAlignment="1">
      <alignment horizontal="center" vertical="center" shrinkToFit="1"/>
    </xf>
    <xf numFmtId="0" fontId="30" fillId="0" borderId="0" xfId="0" applyFont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31" fillId="0" borderId="48" xfId="0" applyFont="1" applyBorder="1" applyAlignment="1">
      <alignment horizontal="center" vertical="center" shrinkToFit="1"/>
    </xf>
    <xf numFmtId="0" fontId="11" fillId="0" borderId="13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 shrinkToFit="1"/>
    </xf>
    <xf numFmtId="0" fontId="11" fillId="0" borderId="17" xfId="0" applyFont="1" applyBorder="1" applyAlignment="1">
      <alignment horizontal="center" vertical="center" shrinkToFit="1"/>
    </xf>
    <xf numFmtId="0" fontId="11" fillId="0" borderId="25" xfId="0" applyFont="1" applyBorder="1" applyAlignment="1">
      <alignment horizontal="center" vertical="center" shrinkToFit="1"/>
    </xf>
    <xf numFmtId="0" fontId="11" fillId="0" borderId="14" xfId="0" applyFont="1" applyBorder="1" applyAlignment="1">
      <alignment horizontal="center" vertical="center" shrinkToFit="1"/>
    </xf>
    <xf numFmtId="0" fontId="11" fillId="0" borderId="55" xfId="0" applyFont="1" applyBorder="1" applyAlignment="1">
      <alignment horizontal="center" vertical="center" shrinkToFit="1"/>
    </xf>
    <xf numFmtId="0" fontId="11" fillId="0" borderId="19" xfId="0" applyFont="1" applyBorder="1" applyAlignment="1">
      <alignment horizontal="center" vertical="center" shrinkToFit="1"/>
    </xf>
    <xf numFmtId="0" fontId="11" fillId="0" borderId="14" xfId="0" applyFont="1" applyBorder="1" applyAlignment="1">
      <alignment vertical="center" shrinkToFit="1"/>
    </xf>
    <xf numFmtId="0" fontId="11" fillId="0" borderId="34" xfId="0" applyFont="1" applyBorder="1" applyAlignment="1">
      <alignment vertical="center" shrinkToFit="1"/>
    </xf>
    <xf numFmtId="0" fontId="11" fillId="0" borderId="34" xfId="0" applyFont="1" applyBorder="1" applyAlignment="1">
      <alignment horizontal="center" vertical="center" shrinkToFit="1"/>
    </xf>
    <xf numFmtId="0" fontId="11" fillId="0" borderId="10" xfId="0" applyFont="1" applyBorder="1" applyAlignment="1">
      <alignment horizontal="center" vertical="center" shrinkToFit="1"/>
    </xf>
    <xf numFmtId="0" fontId="11" fillId="0" borderId="17" xfId="0" applyFont="1" applyBorder="1" applyAlignment="1">
      <alignment horizontal="center" vertical="center" shrinkToFit="1"/>
    </xf>
    <xf numFmtId="0" fontId="11" fillId="0" borderId="49" xfId="0" applyFont="1" applyBorder="1" applyAlignment="1">
      <alignment horizontal="center" vertical="center" shrinkToFit="1"/>
    </xf>
    <xf numFmtId="0" fontId="11" fillId="0" borderId="13" xfId="0" applyFont="1" applyBorder="1" applyAlignment="1">
      <alignment vertical="center"/>
    </xf>
    <xf numFmtId="0" fontId="11" fillId="0" borderId="10" xfId="0" applyFont="1" applyBorder="1" applyAlignment="1">
      <alignment vertical="center"/>
    </xf>
    <xf numFmtId="0" fontId="11" fillId="0" borderId="110" xfId="0" applyFont="1" applyBorder="1" applyAlignment="1">
      <alignment horizontal="center" vertical="center" shrinkToFit="1"/>
    </xf>
    <xf numFmtId="0" fontId="11" fillId="0" borderId="110" xfId="0" applyFont="1" applyBorder="1" applyAlignment="1">
      <alignment horizontal="center" vertical="center"/>
    </xf>
    <xf numFmtId="0" fontId="11" fillId="0" borderId="111" xfId="0" applyFont="1" applyBorder="1" applyAlignment="1">
      <alignment horizontal="center" vertical="center"/>
    </xf>
    <xf numFmtId="0" fontId="11" fillId="0" borderId="112" xfId="0" applyFont="1" applyBorder="1" applyAlignment="1">
      <alignment horizontal="center" vertical="center"/>
    </xf>
    <xf numFmtId="0" fontId="11" fillId="0" borderId="109" xfId="0" applyFont="1" applyBorder="1" applyAlignment="1">
      <alignment horizontal="center" vertical="center" wrapText="1"/>
    </xf>
    <xf numFmtId="0" fontId="0" fillId="0" borderId="10" xfId="0" applyBorder="1" applyAlignment="1">
      <alignment vertical="center"/>
    </xf>
    <xf numFmtId="0" fontId="11" fillId="0" borderId="32" xfId="0" applyFont="1" applyBorder="1" applyAlignment="1">
      <alignment horizontal="center" vertical="center"/>
    </xf>
    <xf numFmtId="0" fontId="3" fillId="0" borderId="36" xfId="9">
      <alignment vertical="center"/>
    </xf>
    <xf numFmtId="0" fontId="3" fillId="10" borderId="84" xfId="9" applyFill="1" applyBorder="1" applyAlignment="1">
      <alignment horizontal="center" vertical="center"/>
    </xf>
    <xf numFmtId="0" fontId="3" fillId="0" borderId="73" xfId="9" applyBorder="1" applyAlignment="1">
      <alignment horizontal="center" vertical="center"/>
    </xf>
    <xf numFmtId="0" fontId="3" fillId="0" borderId="72" xfId="9" applyBorder="1" applyAlignment="1">
      <alignment horizontal="center" vertical="center"/>
    </xf>
    <xf numFmtId="0" fontId="3" fillId="0" borderId="48" xfId="9" applyBorder="1" applyAlignment="1">
      <alignment horizontal="center" vertical="center"/>
    </xf>
    <xf numFmtId="0" fontId="3" fillId="0" borderId="76" xfId="9" applyBorder="1" applyAlignment="1">
      <alignment horizontal="center" vertical="center"/>
    </xf>
    <xf numFmtId="0" fontId="3" fillId="5" borderId="71" xfId="9" applyFill="1" applyBorder="1" applyAlignment="1">
      <alignment horizontal="center" vertical="center"/>
    </xf>
    <xf numFmtId="0" fontId="3" fillId="5" borderId="70" xfId="9" applyFill="1" applyBorder="1" applyAlignment="1">
      <alignment horizontal="center" vertical="center"/>
    </xf>
    <xf numFmtId="0" fontId="3" fillId="5" borderId="69" xfId="9" applyFill="1" applyBorder="1" applyAlignment="1">
      <alignment horizontal="center" vertical="center"/>
    </xf>
    <xf numFmtId="0" fontId="3" fillId="0" borderId="67" xfId="9" applyBorder="1" applyAlignment="1">
      <alignment horizontal="center" vertical="center"/>
    </xf>
    <xf numFmtId="0" fontId="3" fillId="0" borderId="80" xfId="9" applyBorder="1" applyAlignment="1">
      <alignment horizontal="center" vertical="center" wrapText="1"/>
    </xf>
    <xf numFmtId="0" fontId="3" fillId="0" borderId="80" xfId="9" applyBorder="1" applyAlignment="1">
      <alignment horizontal="center" vertical="center"/>
    </xf>
    <xf numFmtId="0" fontId="3" fillId="0" borderId="88" xfId="9" applyBorder="1" applyAlignment="1">
      <alignment horizontal="center" vertical="center"/>
    </xf>
    <xf numFmtId="0" fontId="3" fillId="0" borderId="79" xfId="9" applyBorder="1" applyAlignment="1">
      <alignment horizontal="center" vertical="center"/>
    </xf>
    <xf numFmtId="0" fontId="3" fillId="0" borderId="84" xfId="9" applyBorder="1" applyAlignment="1">
      <alignment horizontal="center" vertical="center"/>
    </xf>
    <xf numFmtId="0" fontId="3" fillId="0" borderId="64" xfId="9" applyBorder="1" applyAlignment="1">
      <alignment horizontal="center" vertical="center"/>
    </xf>
    <xf numFmtId="0" fontId="3" fillId="0" borderId="114" xfId="9" applyBorder="1" applyAlignment="1">
      <alignment horizontal="center" vertical="center"/>
    </xf>
    <xf numFmtId="0" fontId="3" fillId="0" borderId="92" xfId="9" applyBorder="1" applyAlignment="1">
      <alignment horizontal="center" vertical="center"/>
    </xf>
    <xf numFmtId="0" fontId="3" fillId="0" borderId="115" xfId="9" applyBorder="1" applyAlignment="1">
      <alignment horizontal="center" vertical="center"/>
    </xf>
    <xf numFmtId="0" fontId="3" fillId="0" borderId="75" xfId="9" applyBorder="1" applyAlignment="1">
      <alignment horizontal="center" vertical="center"/>
    </xf>
    <xf numFmtId="0" fontId="3" fillId="0" borderId="74" xfId="9" applyBorder="1" applyAlignment="1">
      <alignment horizontal="center" vertical="center"/>
    </xf>
    <xf numFmtId="0" fontId="3" fillId="0" borderId="63" xfId="9" applyBorder="1" applyAlignment="1">
      <alignment horizontal="center" vertical="center"/>
    </xf>
    <xf numFmtId="0" fontId="3" fillId="0" borderId="102" xfId="9" applyBorder="1" applyAlignment="1">
      <alignment horizontal="center" vertical="center"/>
    </xf>
    <xf numFmtId="0" fontId="3" fillId="5" borderId="68" xfId="9" applyFill="1" applyBorder="1" applyAlignment="1">
      <alignment horizontal="center" vertical="center"/>
    </xf>
    <xf numFmtId="0" fontId="3" fillId="5" borderId="67" xfId="9" applyFill="1" applyBorder="1" applyAlignment="1">
      <alignment horizontal="center" vertical="center"/>
    </xf>
    <xf numFmtId="0" fontId="3" fillId="5" borderId="66" xfId="9" applyFill="1" applyBorder="1" applyAlignment="1">
      <alignment horizontal="center" vertical="center"/>
    </xf>
    <xf numFmtId="0" fontId="3" fillId="5" borderId="65" xfId="9" applyFill="1" applyBorder="1" applyAlignment="1">
      <alignment horizontal="center" vertical="center"/>
    </xf>
    <xf numFmtId="0" fontId="3" fillId="5" borderId="64" xfId="9" applyFill="1" applyBorder="1" applyAlignment="1">
      <alignment horizontal="center" vertical="center"/>
    </xf>
    <xf numFmtId="0" fontId="3" fillId="5" borderId="62" xfId="9" applyFill="1" applyBorder="1" applyAlignment="1">
      <alignment horizontal="center" vertical="center"/>
    </xf>
    <xf numFmtId="0" fontId="13" fillId="0" borderId="48" xfId="9" applyFont="1" applyBorder="1" applyAlignment="1">
      <alignment horizontal="center" vertical="center"/>
    </xf>
    <xf numFmtId="0" fontId="13" fillId="0" borderId="84" xfId="9" applyFont="1" applyBorder="1" applyAlignment="1">
      <alignment horizontal="center" vertical="center"/>
    </xf>
    <xf numFmtId="0" fontId="13" fillId="0" borderId="67" xfId="9" applyFont="1" applyBorder="1" applyAlignment="1">
      <alignment horizontal="center" vertical="center"/>
    </xf>
    <xf numFmtId="0" fontId="2" fillId="0" borderId="36" xfId="10">
      <alignment vertical="center"/>
    </xf>
    <xf numFmtId="0" fontId="2" fillId="0" borderId="86" xfId="11" applyBorder="1">
      <alignment vertical="center"/>
    </xf>
    <xf numFmtId="0" fontId="2" fillId="0" borderId="105" xfId="10" applyBorder="1">
      <alignment vertical="center"/>
    </xf>
    <xf numFmtId="0" fontId="2" fillId="10" borderId="84" xfId="10" applyFill="1" applyBorder="1" applyAlignment="1">
      <alignment horizontal="center" vertical="center"/>
    </xf>
    <xf numFmtId="0" fontId="2" fillId="10" borderId="85" xfId="10" applyFill="1" applyBorder="1" applyAlignment="1">
      <alignment horizontal="center" vertical="center"/>
    </xf>
    <xf numFmtId="0" fontId="2" fillId="0" borderId="73" xfId="10" applyBorder="1" applyAlignment="1">
      <alignment horizontal="center" vertical="center"/>
    </xf>
    <xf numFmtId="0" fontId="2" fillId="0" borderId="81" xfId="10" applyBorder="1" applyAlignment="1">
      <alignment horizontal="center" vertical="center"/>
    </xf>
    <xf numFmtId="0" fontId="2" fillId="0" borderId="72" xfId="10" applyBorder="1" applyAlignment="1">
      <alignment horizontal="center" vertical="center"/>
    </xf>
    <xf numFmtId="0" fontId="2" fillId="0" borderId="48" xfId="10" applyBorder="1" applyAlignment="1">
      <alignment horizontal="center" vertical="center"/>
    </xf>
    <xf numFmtId="0" fontId="33" fillId="0" borderId="48" xfId="10" applyFont="1" applyBorder="1" applyAlignment="1">
      <alignment horizontal="center" vertical="center"/>
    </xf>
    <xf numFmtId="0" fontId="2" fillId="5" borderId="71" xfId="10" applyFill="1" applyBorder="1" applyAlignment="1">
      <alignment horizontal="center" vertical="center"/>
    </xf>
    <xf numFmtId="0" fontId="2" fillId="5" borderId="70" xfId="10" applyFill="1" applyBorder="1" applyAlignment="1">
      <alignment horizontal="center" vertical="center"/>
    </xf>
    <xf numFmtId="0" fontId="2" fillId="5" borderId="96" xfId="10" applyFill="1" applyBorder="1" applyAlignment="1">
      <alignment horizontal="center" vertical="center"/>
    </xf>
    <xf numFmtId="0" fontId="2" fillId="5" borderId="69" xfId="10" applyFill="1" applyBorder="1" applyAlignment="1">
      <alignment horizontal="center" vertical="center"/>
    </xf>
    <xf numFmtId="0" fontId="2" fillId="0" borderId="80" xfId="10" applyBorder="1" applyAlignment="1">
      <alignment horizontal="center" vertical="center"/>
    </xf>
    <xf numFmtId="0" fontId="2" fillId="0" borderId="79" xfId="10" applyBorder="1" applyAlignment="1">
      <alignment horizontal="center" vertical="center"/>
    </xf>
    <xf numFmtId="0" fontId="2" fillId="0" borderId="74" xfId="10" applyBorder="1" applyAlignment="1">
      <alignment horizontal="center" vertical="center"/>
    </xf>
    <xf numFmtId="0" fontId="2" fillId="0" borderId="116" xfId="10" applyBorder="1" applyAlignment="1">
      <alignment horizontal="center" vertical="center"/>
    </xf>
    <xf numFmtId="0" fontId="2" fillId="0" borderId="78" xfId="10" applyBorder="1" applyAlignment="1">
      <alignment horizontal="center" vertical="center"/>
    </xf>
    <xf numFmtId="0" fontId="2" fillId="0" borderId="77" xfId="10" applyBorder="1" applyAlignment="1">
      <alignment horizontal="center" vertical="center"/>
    </xf>
    <xf numFmtId="0" fontId="2" fillId="0" borderId="75" xfId="10" applyBorder="1" applyAlignment="1">
      <alignment horizontal="center" vertical="center"/>
    </xf>
    <xf numFmtId="0" fontId="2" fillId="5" borderId="68" xfId="10" applyFill="1" applyBorder="1" applyAlignment="1">
      <alignment horizontal="center" vertical="center"/>
    </xf>
    <xf numFmtId="0" fontId="2" fillId="5" borderId="67" xfId="10" applyFill="1" applyBorder="1" applyAlignment="1">
      <alignment horizontal="center" vertical="center"/>
    </xf>
    <xf numFmtId="0" fontId="2" fillId="5" borderId="100" xfId="10" applyFill="1" applyBorder="1" applyAlignment="1">
      <alignment horizontal="center" vertical="center"/>
    </xf>
    <xf numFmtId="0" fontId="2" fillId="5" borderId="66" xfId="10" applyFill="1" applyBorder="1" applyAlignment="1">
      <alignment horizontal="center" vertical="center"/>
    </xf>
    <xf numFmtId="0" fontId="2" fillId="5" borderId="65" xfId="10" applyFill="1" applyBorder="1" applyAlignment="1">
      <alignment horizontal="center" vertical="center"/>
    </xf>
    <xf numFmtId="0" fontId="2" fillId="5" borderId="64" xfId="10" applyFill="1" applyBorder="1" applyAlignment="1">
      <alignment horizontal="center" vertical="center"/>
    </xf>
    <xf numFmtId="0" fontId="2" fillId="5" borderId="103" xfId="10" applyFill="1" applyBorder="1" applyAlignment="1">
      <alignment horizontal="center" vertical="center"/>
    </xf>
    <xf numFmtId="0" fontId="2" fillId="5" borderId="62" xfId="10" applyFill="1" applyBorder="1" applyAlignment="1">
      <alignment horizontal="center" vertical="center"/>
    </xf>
    <xf numFmtId="0" fontId="13" fillId="0" borderId="48" xfId="10" applyFont="1" applyBorder="1" applyAlignment="1">
      <alignment horizontal="center" vertical="center"/>
    </xf>
    <xf numFmtId="0" fontId="36" fillId="0" borderId="48" xfId="10" applyFont="1" applyBorder="1" applyAlignment="1">
      <alignment horizontal="center" vertical="center"/>
    </xf>
    <xf numFmtId="0" fontId="2" fillId="0" borderId="76" xfId="10" applyBorder="1" applyAlignment="1">
      <alignment horizontal="center" vertical="center"/>
    </xf>
    <xf numFmtId="0" fontId="36" fillId="0" borderId="73" xfId="10" applyFont="1" applyBorder="1" applyAlignment="1">
      <alignment horizontal="center" vertical="center"/>
    </xf>
    <xf numFmtId="0" fontId="2" fillId="0" borderId="67" xfId="10" applyBorder="1" applyAlignment="1">
      <alignment horizontal="center" vertical="center"/>
    </xf>
    <xf numFmtId="0" fontId="12" fillId="0" borderId="79" xfId="10" applyFont="1" applyBorder="1" applyAlignment="1">
      <alignment horizontal="center" vertical="center"/>
    </xf>
    <xf numFmtId="0" fontId="12" fillId="0" borderId="73" xfId="10" applyFont="1" applyBorder="1" applyAlignment="1">
      <alignment horizontal="center" vertical="center"/>
    </xf>
    <xf numFmtId="0" fontId="12" fillId="0" borderId="48" xfId="10" applyFont="1" applyBorder="1" applyAlignment="1">
      <alignment horizontal="center" vertical="center"/>
    </xf>
    <xf numFmtId="0" fontId="12" fillId="0" borderId="78" xfId="10" applyFont="1" applyBorder="1" applyAlignment="1">
      <alignment horizontal="center" vertical="center"/>
    </xf>
    <xf numFmtId="0" fontId="12" fillId="0" borderId="77" xfId="10" applyFont="1" applyBorder="1" applyAlignment="1">
      <alignment horizontal="center" vertical="center"/>
    </xf>
    <xf numFmtId="0" fontId="12" fillId="0" borderId="81" xfId="10" applyFont="1" applyBorder="1" applyAlignment="1">
      <alignment horizontal="center" vertical="center"/>
    </xf>
    <xf numFmtId="0" fontId="12" fillId="0" borderId="72" xfId="10" applyFont="1" applyBorder="1" applyAlignment="1">
      <alignment horizontal="center" vertical="center"/>
    </xf>
    <xf numFmtId="0" fontId="13" fillId="0" borderId="80" xfId="10" applyFont="1" applyBorder="1" applyAlignment="1">
      <alignment horizontal="center" vertical="center"/>
    </xf>
    <xf numFmtId="0" fontId="36" fillId="0" borderId="79" xfId="10" applyFont="1" applyBorder="1" applyAlignment="1">
      <alignment horizontal="center" vertical="center"/>
    </xf>
    <xf numFmtId="0" fontId="33" fillId="0" borderId="79" xfId="10" applyFont="1" applyBorder="1" applyAlignment="1">
      <alignment vertical="center"/>
    </xf>
    <xf numFmtId="0" fontId="36" fillId="0" borderId="79" xfId="10" applyFont="1" applyBorder="1" applyAlignment="1">
      <alignment vertical="center"/>
    </xf>
    <xf numFmtId="0" fontId="36" fillId="0" borderId="73" xfId="10" applyFont="1" applyBorder="1" applyAlignment="1">
      <alignment vertical="center"/>
    </xf>
    <xf numFmtId="0" fontId="12" fillId="0" borderId="76" xfId="10" applyFont="1" applyBorder="1" applyAlignment="1">
      <alignment horizontal="center" vertical="center"/>
    </xf>
    <xf numFmtId="0" fontId="11" fillId="8" borderId="33" xfId="0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center"/>
    </xf>
    <xf numFmtId="0" fontId="11" fillId="6" borderId="4" xfId="0" applyFont="1" applyFill="1" applyBorder="1" applyAlignment="1">
      <alignment horizontal="center" vertical="center"/>
    </xf>
    <xf numFmtId="0" fontId="11" fillId="0" borderId="13" xfId="0" applyFont="1" applyBorder="1" applyAlignment="1">
      <alignment vertical="center"/>
    </xf>
    <xf numFmtId="0" fontId="11" fillId="0" borderId="10" xfId="0" applyFont="1" applyBorder="1" applyAlignment="1">
      <alignment vertical="center"/>
    </xf>
    <xf numFmtId="0" fontId="11" fillId="0" borderId="34" xfId="0" applyFont="1" applyBorder="1" applyAlignment="1">
      <alignment horizontal="center" vertical="center" shrinkToFit="1"/>
    </xf>
    <xf numFmtId="0" fontId="11" fillId="0" borderId="10" xfId="0" applyFont="1" applyBorder="1" applyAlignment="1">
      <alignment horizontal="center" vertical="center" shrinkToFit="1"/>
    </xf>
    <xf numFmtId="0" fontId="11" fillId="0" borderId="17" xfId="0" applyFont="1" applyBorder="1" applyAlignment="1">
      <alignment horizontal="center" vertical="center" shrinkToFit="1"/>
    </xf>
    <xf numFmtId="0" fontId="11" fillId="0" borderId="49" xfId="0" applyFont="1" applyBorder="1" applyAlignment="1">
      <alignment horizontal="center" vertical="center" shrinkToFit="1"/>
    </xf>
    <xf numFmtId="0" fontId="11" fillId="3" borderId="45" xfId="0" applyFont="1" applyFill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34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1" fillId="0" borderId="25" xfId="0" applyFont="1" applyBorder="1" applyAlignment="1">
      <alignment horizontal="center" vertical="center" shrinkToFit="1"/>
    </xf>
    <xf numFmtId="0" fontId="11" fillId="0" borderId="13" xfId="0" applyFont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 wrapText="1"/>
    </xf>
    <xf numFmtId="0" fontId="11" fillId="0" borderId="17" xfId="0" applyFont="1" applyBorder="1" applyAlignment="1">
      <alignment horizontal="center" vertical="center"/>
    </xf>
    <xf numFmtId="0" fontId="12" fillId="0" borderId="77" xfId="10" applyFont="1" applyFill="1" applyBorder="1" applyAlignment="1">
      <alignment horizontal="center" vertical="center"/>
    </xf>
    <xf numFmtId="0" fontId="12" fillId="0" borderId="73" xfId="10" applyFont="1" applyFill="1" applyBorder="1" applyAlignment="1">
      <alignment horizontal="center" vertical="center"/>
    </xf>
    <xf numFmtId="0" fontId="12" fillId="0" borderId="81" xfId="10" applyFont="1" applyFill="1" applyBorder="1" applyAlignment="1">
      <alignment horizontal="center" vertical="center"/>
    </xf>
    <xf numFmtId="0" fontId="2" fillId="0" borderId="77" xfId="10" applyFill="1" applyBorder="1" applyAlignment="1">
      <alignment horizontal="center" vertical="center"/>
    </xf>
    <xf numFmtId="0" fontId="2" fillId="0" borderId="73" xfId="10" applyFill="1" applyBorder="1" applyAlignment="1">
      <alignment horizontal="center" vertical="center"/>
    </xf>
    <xf numFmtId="0" fontId="2" fillId="0" borderId="74" xfId="10" applyFill="1" applyBorder="1" applyAlignment="1">
      <alignment horizontal="center" vertical="center"/>
    </xf>
    <xf numFmtId="0" fontId="2" fillId="0" borderId="72" xfId="10" applyFill="1" applyBorder="1" applyAlignment="1">
      <alignment horizontal="center" vertical="center"/>
    </xf>
    <xf numFmtId="0" fontId="2" fillId="0" borderId="116" xfId="10" applyFill="1" applyBorder="1" applyAlignment="1">
      <alignment horizontal="center" vertical="center"/>
    </xf>
    <xf numFmtId="0" fontId="2" fillId="0" borderId="81" xfId="10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1" fillId="0" borderId="17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 shrinkToFit="1"/>
    </xf>
    <xf numFmtId="0" fontId="11" fillId="0" borderId="49" xfId="0" applyFont="1" applyBorder="1" applyAlignment="1">
      <alignment horizontal="center" vertical="center" shrinkToFit="1"/>
    </xf>
    <xf numFmtId="0" fontId="11" fillId="0" borderId="34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1" fillId="8" borderId="33" xfId="0" applyFont="1" applyFill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center"/>
    </xf>
    <xf numFmtId="0" fontId="11" fillId="6" borderId="4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 wrapText="1"/>
    </xf>
    <xf numFmtId="0" fontId="11" fillId="0" borderId="17" xfId="0" applyFont="1" applyBorder="1" applyAlignment="1">
      <alignment horizontal="center" vertical="center"/>
    </xf>
    <xf numFmtId="0" fontId="11" fillId="3" borderId="45" xfId="0" applyFont="1" applyFill="1" applyBorder="1" applyAlignment="1">
      <alignment horizontal="center" vertical="center"/>
    </xf>
    <xf numFmtId="0" fontId="11" fillId="0" borderId="34" xfId="0" applyFont="1" applyBorder="1" applyAlignment="1">
      <alignment horizontal="center" vertical="center" shrinkToFit="1"/>
    </xf>
    <xf numFmtId="0" fontId="11" fillId="0" borderId="10" xfId="0" applyFont="1" applyBorder="1" applyAlignment="1">
      <alignment horizontal="center" vertical="center" shrinkToFit="1"/>
    </xf>
    <xf numFmtId="0" fontId="11" fillId="0" borderId="17" xfId="0" applyFont="1" applyBorder="1" applyAlignment="1">
      <alignment horizontal="center" vertical="center" shrinkToFit="1"/>
    </xf>
    <xf numFmtId="0" fontId="11" fillId="0" borderId="49" xfId="0" applyFont="1" applyBorder="1" applyAlignment="1">
      <alignment horizontal="center" vertical="center" shrinkToFit="1"/>
    </xf>
    <xf numFmtId="0" fontId="11" fillId="0" borderId="25" xfId="0" applyFont="1" applyBorder="1" applyAlignment="1">
      <alignment horizontal="center" vertical="center" shrinkToFit="1"/>
    </xf>
    <xf numFmtId="0" fontId="11" fillId="0" borderId="10" xfId="0" applyFont="1" applyBorder="1" applyAlignment="1">
      <alignment horizontal="center" vertical="center"/>
    </xf>
    <xf numFmtId="0" fontId="11" fillId="5" borderId="110" xfId="0" applyFont="1" applyFill="1" applyBorder="1" applyAlignment="1">
      <alignment horizontal="center" vertical="center"/>
    </xf>
    <xf numFmtId="0" fontId="11" fillId="5" borderId="14" xfId="0" applyFont="1" applyFill="1" applyBorder="1" applyAlignment="1">
      <alignment horizontal="center" vertical="center"/>
    </xf>
    <xf numFmtId="0" fontId="13" fillId="0" borderId="76" xfId="10" applyFont="1" applyBorder="1" applyAlignment="1">
      <alignment horizontal="center" vertical="center" wrapText="1"/>
    </xf>
    <xf numFmtId="0" fontId="13" fillId="0" borderId="79" xfId="10" applyFont="1" applyBorder="1" applyAlignment="1">
      <alignment horizontal="center" vertical="center" wrapText="1"/>
    </xf>
    <xf numFmtId="0" fontId="13" fillId="0" borderId="73" xfId="10" applyFont="1" applyBorder="1" applyAlignment="1">
      <alignment horizontal="center" vertical="center" wrapText="1"/>
    </xf>
    <xf numFmtId="0" fontId="36" fillId="0" borderId="76" xfId="10" applyFont="1" applyBorder="1" applyAlignment="1">
      <alignment horizontal="center" vertical="center"/>
    </xf>
    <xf numFmtId="0" fontId="36" fillId="0" borderId="73" xfId="10" applyFont="1" applyBorder="1" applyAlignment="1">
      <alignment horizontal="center" vertical="center"/>
    </xf>
    <xf numFmtId="0" fontId="33" fillId="0" borderId="76" xfId="10" applyFont="1" applyBorder="1" applyAlignment="1">
      <alignment horizontal="center" vertical="center" wrapText="1"/>
    </xf>
    <xf numFmtId="0" fontId="33" fillId="0" borderId="79" xfId="10" applyFont="1" applyBorder="1" applyAlignment="1">
      <alignment horizontal="center" vertical="center" wrapText="1"/>
    </xf>
    <xf numFmtId="0" fontId="33" fillId="0" borderId="73" xfId="10" applyFont="1" applyBorder="1" applyAlignment="1">
      <alignment horizontal="center" vertical="center" wrapText="1"/>
    </xf>
    <xf numFmtId="0" fontId="33" fillId="0" borderId="76" xfId="10" applyFont="1" applyBorder="1" applyAlignment="1">
      <alignment horizontal="center" vertical="center"/>
    </xf>
    <xf numFmtId="0" fontId="2" fillId="0" borderId="79" xfId="10" applyBorder="1" applyAlignment="1">
      <alignment horizontal="center" vertical="center"/>
    </xf>
    <xf numFmtId="0" fontId="2" fillId="0" borderId="73" xfId="10" applyBorder="1" applyAlignment="1">
      <alignment horizontal="center" vertical="center"/>
    </xf>
    <xf numFmtId="0" fontId="12" fillId="0" borderId="48" xfId="10" applyFont="1" applyBorder="1" applyAlignment="1">
      <alignment horizontal="center" vertical="center"/>
    </xf>
    <xf numFmtId="0" fontId="36" fillId="0" borderId="48" xfId="10" applyFont="1" applyBorder="1" applyAlignment="1">
      <alignment horizontal="center" vertical="center"/>
    </xf>
    <xf numFmtId="0" fontId="2" fillId="0" borderId="76" xfId="10" applyBorder="1" applyAlignment="1">
      <alignment horizontal="center" vertical="center"/>
    </xf>
    <xf numFmtId="0" fontId="34" fillId="0" borderId="78" xfId="10" applyFont="1" applyBorder="1" applyAlignment="1">
      <alignment horizontal="center" vertical="center" wrapText="1" shrinkToFit="1"/>
    </xf>
    <xf numFmtId="0" fontId="34" fillId="0" borderId="77" xfId="10" applyFont="1" applyBorder="1" applyAlignment="1">
      <alignment horizontal="center" vertical="center" shrinkToFit="1"/>
    </xf>
    <xf numFmtId="0" fontId="34" fillId="0" borderId="75" xfId="10" applyFont="1" applyBorder="1" applyAlignment="1">
      <alignment horizontal="center" vertical="center" wrapText="1" shrinkToFit="1"/>
    </xf>
    <xf numFmtId="0" fontId="34" fillId="0" borderId="74" xfId="10" applyFont="1" applyBorder="1" applyAlignment="1">
      <alignment horizontal="center" vertical="center" shrinkToFit="1"/>
    </xf>
    <xf numFmtId="0" fontId="2" fillId="5" borderId="42" xfId="10" applyFill="1" applyBorder="1" applyAlignment="1">
      <alignment horizontal="center" vertical="center"/>
    </xf>
    <xf numFmtId="0" fontId="2" fillId="5" borderId="97" xfId="10" applyFill="1" applyBorder="1" applyAlignment="1">
      <alignment horizontal="center" vertical="center"/>
    </xf>
    <xf numFmtId="0" fontId="2" fillId="7" borderId="99" xfId="10" applyFill="1" applyBorder="1" applyAlignment="1">
      <alignment horizontal="center" vertical="center"/>
    </xf>
    <xf numFmtId="0" fontId="2" fillId="7" borderId="83" xfId="10" applyFill="1" applyBorder="1" applyAlignment="1">
      <alignment horizontal="center" vertical="center"/>
    </xf>
    <xf numFmtId="0" fontId="2" fillId="7" borderId="86" xfId="10" applyFill="1" applyBorder="1" applyAlignment="1">
      <alignment horizontal="center" vertical="center" wrapText="1"/>
    </xf>
    <xf numFmtId="0" fontId="2" fillId="7" borderId="102" xfId="10" applyFill="1" applyBorder="1" applyAlignment="1">
      <alignment horizontal="center" vertical="center" wrapText="1"/>
    </xf>
    <xf numFmtId="0" fontId="2" fillId="9" borderId="64" xfId="10" applyFill="1" applyBorder="1" applyAlignment="1">
      <alignment horizontal="center" vertical="center"/>
    </xf>
    <xf numFmtId="0" fontId="2" fillId="0" borderId="64" xfId="10" applyBorder="1" applyAlignment="1">
      <alignment horizontal="center" vertical="center"/>
    </xf>
    <xf numFmtId="0" fontId="2" fillId="5" borderId="70" xfId="10" applyFill="1" applyBorder="1" applyAlignment="1">
      <alignment horizontal="center" vertical="center"/>
    </xf>
    <xf numFmtId="0" fontId="33" fillId="0" borderId="80" xfId="10" applyFont="1" applyBorder="1" applyAlignment="1">
      <alignment horizontal="center" vertical="center" wrapText="1"/>
    </xf>
    <xf numFmtId="0" fontId="33" fillId="0" borderId="80" xfId="10" applyFont="1" applyBorder="1" applyAlignment="1">
      <alignment horizontal="center" vertical="center"/>
    </xf>
    <xf numFmtId="0" fontId="33" fillId="0" borderId="79" xfId="10" applyFont="1" applyBorder="1" applyAlignment="1">
      <alignment horizontal="center" vertical="center"/>
    </xf>
    <xf numFmtId="0" fontId="33" fillId="0" borderId="73" xfId="10" applyFont="1" applyBorder="1" applyAlignment="1">
      <alignment horizontal="center" vertical="center"/>
    </xf>
    <xf numFmtId="0" fontId="33" fillId="0" borderId="64" xfId="10" applyFont="1" applyBorder="1" applyAlignment="1">
      <alignment horizontal="center" vertical="center"/>
    </xf>
    <xf numFmtId="0" fontId="2" fillId="0" borderId="80" xfId="10" applyBorder="1" applyAlignment="1">
      <alignment horizontal="center" vertical="center" wrapText="1"/>
    </xf>
    <xf numFmtId="0" fontId="2" fillId="0" borderId="48" xfId="10" applyBorder="1" applyAlignment="1">
      <alignment horizontal="center" vertical="center"/>
    </xf>
    <xf numFmtId="0" fontId="37" fillId="0" borderId="36" xfId="1" applyFont="1" applyAlignment="1">
      <alignment horizontal="center" vertical="center"/>
    </xf>
    <xf numFmtId="0" fontId="12" fillId="0" borderId="36" xfId="1" applyAlignment="1">
      <alignment horizontal="center" vertical="center"/>
    </xf>
    <xf numFmtId="0" fontId="18" fillId="0" borderId="86" xfId="11" applyFont="1" applyBorder="1" applyAlignment="1">
      <alignment horizontal="right" vertical="center"/>
    </xf>
    <xf numFmtId="0" fontId="13" fillId="10" borderId="67" xfId="10" applyFont="1" applyFill="1" applyBorder="1" applyAlignment="1">
      <alignment horizontal="center" vertical="center" wrapText="1"/>
    </xf>
    <xf numFmtId="0" fontId="2" fillId="10" borderId="84" xfId="10" applyFill="1" applyBorder="1" applyAlignment="1">
      <alignment horizontal="center" vertical="center"/>
    </xf>
    <xf numFmtId="0" fontId="2" fillId="10" borderId="67" xfId="10" applyFill="1" applyBorder="1" applyAlignment="1">
      <alignment horizontal="center" vertical="center"/>
    </xf>
    <xf numFmtId="0" fontId="2" fillId="10" borderId="67" xfId="10" applyFill="1" applyBorder="1" applyAlignment="1">
      <alignment horizontal="center" vertical="center" wrapText="1"/>
    </xf>
    <xf numFmtId="0" fontId="2" fillId="10" borderId="84" xfId="10" applyFill="1" applyBorder="1" applyAlignment="1">
      <alignment horizontal="center" vertical="center" wrapText="1"/>
    </xf>
    <xf numFmtId="0" fontId="2" fillId="10" borderId="82" xfId="10" applyFill="1" applyBorder="1" applyAlignment="1">
      <alignment horizontal="center" vertical="center" wrapText="1"/>
    </xf>
    <xf numFmtId="0" fontId="2" fillId="10" borderId="83" xfId="10" applyFill="1" applyBorder="1" applyAlignment="1">
      <alignment horizontal="center" vertical="center" wrapText="1"/>
    </xf>
    <xf numFmtId="0" fontId="2" fillId="10" borderId="88" xfId="10" applyFill="1" applyBorder="1" applyAlignment="1">
      <alignment horizontal="center" vertical="center"/>
    </xf>
    <xf numFmtId="0" fontId="2" fillId="10" borderId="90" xfId="10" applyFill="1" applyBorder="1" applyAlignment="1">
      <alignment horizontal="center" vertical="center"/>
    </xf>
    <xf numFmtId="0" fontId="11" fillId="0" borderId="34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1" fillId="6" borderId="29" xfId="0" applyFont="1" applyFill="1" applyBorder="1" applyAlignment="1">
      <alignment horizontal="center" vertical="center" wrapText="1"/>
    </xf>
    <xf numFmtId="0" fontId="10" fillId="7" borderId="30" xfId="0" applyFont="1" applyFill="1" applyBorder="1" applyAlignment="1">
      <alignment vertical="center"/>
    </xf>
    <xf numFmtId="0" fontId="10" fillId="7" borderId="31" xfId="0" applyFont="1" applyFill="1" applyBorder="1" applyAlignment="1">
      <alignment vertical="center"/>
    </xf>
    <xf numFmtId="0" fontId="11" fillId="6" borderId="47" xfId="0" applyFont="1" applyFill="1" applyBorder="1" applyAlignment="1">
      <alignment horizontal="center" vertical="center"/>
    </xf>
    <xf numFmtId="0" fontId="11" fillId="6" borderId="61" xfId="0" applyFont="1" applyFill="1" applyBorder="1" applyAlignment="1">
      <alignment horizontal="center" vertical="center"/>
    </xf>
    <xf numFmtId="0" fontId="11" fillId="8" borderId="29" xfId="0" applyFont="1" applyFill="1" applyBorder="1" applyAlignment="1">
      <alignment horizontal="center" vertical="center"/>
    </xf>
    <xf numFmtId="0" fontId="10" fillId="9" borderId="30" xfId="0" applyFont="1" applyFill="1" applyBorder="1" applyAlignment="1">
      <alignment vertical="center"/>
    </xf>
    <xf numFmtId="0" fontId="10" fillId="9" borderId="31" xfId="0" applyFont="1" applyFill="1" applyBorder="1" applyAlignment="1">
      <alignment vertical="center"/>
    </xf>
    <xf numFmtId="0" fontId="11" fillId="8" borderId="33" xfId="0" applyFont="1" applyFill="1" applyBorder="1" applyAlignment="1">
      <alignment horizontal="center" vertical="center"/>
    </xf>
    <xf numFmtId="0" fontId="10" fillId="9" borderId="37" xfId="0" applyFont="1" applyFill="1" applyBorder="1" applyAlignment="1">
      <alignment vertical="center"/>
    </xf>
    <xf numFmtId="0" fontId="11" fillId="0" borderId="26" xfId="0" applyFont="1" applyBorder="1" applyAlignment="1">
      <alignment horizontal="center" vertical="center" wrapText="1"/>
    </xf>
    <xf numFmtId="0" fontId="11" fillId="0" borderId="12" xfId="0" applyFont="1" applyBorder="1" applyAlignment="1">
      <alignment horizontal="center" vertical="center" wrapText="1"/>
    </xf>
    <xf numFmtId="0" fontId="10" fillId="0" borderId="25" xfId="0" applyFont="1" applyBorder="1" applyAlignment="1">
      <alignment vertical="center"/>
    </xf>
    <xf numFmtId="0" fontId="11" fillId="0" borderId="15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10" fillId="0" borderId="56" xfId="0" applyFont="1" applyBorder="1" applyAlignment="1">
      <alignment vertical="center"/>
    </xf>
    <xf numFmtId="0" fontId="11" fillId="0" borderId="18" xfId="0" applyFont="1" applyBorder="1" applyAlignment="1">
      <alignment horizontal="center" vertical="center"/>
    </xf>
    <xf numFmtId="0" fontId="10" fillId="0" borderId="40" xfId="0" applyFont="1" applyBorder="1" applyAlignment="1">
      <alignment vertical="center"/>
    </xf>
    <xf numFmtId="0" fontId="10" fillId="0" borderId="33" xfId="0" applyFont="1" applyBorder="1" applyAlignment="1">
      <alignment vertical="center"/>
    </xf>
    <xf numFmtId="0" fontId="10" fillId="0" borderId="37" xfId="0" applyFont="1" applyBorder="1" applyAlignment="1">
      <alignment vertical="center"/>
    </xf>
    <xf numFmtId="0" fontId="11" fillId="3" borderId="20" xfId="0" applyFont="1" applyFill="1" applyBorder="1" applyAlignment="1">
      <alignment horizontal="center" vertical="center"/>
    </xf>
    <xf numFmtId="0" fontId="10" fillId="0" borderId="21" xfId="0" applyFont="1" applyBorder="1" applyAlignment="1">
      <alignment vertical="center"/>
    </xf>
    <xf numFmtId="0" fontId="10" fillId="0" borderId="22" xfId="0" applyFont="1" applyBorder="1" applyAlignment="1">
      <alignment vertical="center"/>
    </xf>
    <xf numFmtId="0" fontId="11" fillId="3" borderId="46" xfId="0" applyFont="1" applyFill="1" applyBorder="1" applyAlignment="1">
      <alignment horizontal="center" vertical="center"/>
    </xf>
    <xf numFmtId="0" fontId="11" fillId="3" borderId="52" xfId="0" applyFont="1" applyFill="1" applyBorder="1" applyAlignment="1">
      <alignment horizontal="center" vertical="center"/>
    </xf>
    <xf numFmtId="0" fontId="11" fillId="6" borderId="27" xfId="0" applyFont="1" applyFill="1" applyBorder="1" applyAlignment="1">
      <alignment horizontal="center" vertical="center"/>
    </xf>
    <xf numFmtId="0" fontId="10" fillId="7" borderId="28" xfId="0" applyFont="1" applyFill="1" applyBorder="1" applyAlignment="1">
      <alignment vertical="center"/>
    </xf>
    <xf numFmtId="0" fontId="10" fillId="7" borderId="5" xfId="0" applyFont="1" applyFill="1" applyBorder="1" applyAlignment="1">
      <alignment vertical="center"/>
    </xf>
    <xf numFmtId="0" fontId="11" fillId="6" borderId="4" xfId="0" applyFont="1" applyFill="1" applyBorder="1" applyAlignment="1">
      <alignment horizontal="center" vertical="center"/>
    </xf>
    <xf numFmtId="0" fontId="11" fillId="6" borderId="53" xfId="0" applyFont="1" applyFill="1" applyBorder="1" applyAlignment="1">
      <alignment horizontal="center" vertical="center"/>
    </xf>
    <xf numFmtId="0" fontId="11" fillId="0" borderId="25" xfId="0" applyFont="1" applyBorder="1" applyAlignment="1">
      <alignment horizontal="center" vertical="center" wrapText="1"/>
    </xf>
    <xf numFmtId="0" fontId="10" fillId="0" borderId="16" xfId="0" applyFont="1" applyBorder="1" applyAlignment="1">
      <alignment horizontal="center" vertical="center"/>
    </xf>
    <xf numFmtId="0" fontId="10" fillId="0" borderId="56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10" fillId="0" borderId="49" xfId="0" applyFont="1" applyBorder="1" applyAlignment="1">
      <alignment horizontal="center" vertical="center"/>
    </xf>
    <xf numFmtId="0" fontId="10" fillId="0" borderId="17" xfId="0" applyFont="1" applyBorder="1" applyAlignment="1">
      <alignment vertical="center"/>
    </xf>
    <xf numFmtId="0" fontId="10" fillId="0" borderId="49" xfId="0" applyFont="1" applyBorder="1" applyAlignment="1">
      <alignment vertical="center"/>
    </xf>
    <xf numFmtId="0" fontId="11" fillId="0" borderId="34" xfId="0" applyFont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 wrapText="1"/>
    </xf>
    <xf numFmtId="0" fontId="11" fillId="0" borderId="56" xfId="0" applyFont="1" applyBorder="1" applyAlignment="1">
      <alignment horizontal="center" vertical="center"/>
    </xf>
    <xf numFmtId="0" fontId="11" fillId="0" borderId="40" xfId="0" applyFont="1" applyBorder="1" applyAlignment="1">
      <alignment horizontal="center" vertical="center"/>
    </xf>
    <xf numFmtId="0" fontId="11" fillId="0" borderId="17" xfId="0" applyFont="1" applyBorder="1" applyAlignment="1">
      <alignment horizontal="center" vertical="center"/>
    </xf>
    <xf numFmtId="0" fontId="11" fillId="0" borderId="49" xfId="0" applyFont="1" applyBorder="1" applyAlignment="1">
      <alignment horizontal="center" vertical="center"/>
    </xf>
    <xf numFmtId="0" fontId="11" fillId="0" borderId="34" xfId="1" applyFont="1" applyBorder="1" applyAlignment="1">
      <alignment horizontal="center" vertical="center"/>
    </xf>
    <xf numFmtId="0" fontId="11" fillId="0" borderId="13" xfId="1" applyFont="1" applyBorder="1" applyAlignment="1">
      <alignment horizontal="center" vertical="center"/>
    </xf>
    <xf numFmtId="0" fontId="11" fillId="0" borderId="10" xfId="1" applyFont="1" applyBorder="1" applyAlignment="1">
      <alignment horizontal="center" vertical="center"/>
    </xf>
    <xf numFmtId="0" fontId="10" fillId="0" borderId="12" xfId="0" applyFont="1" applyBorder="1" applyAlignment="1">
      <alignment vertical="center"/>
    </xf>
    <xf numFmtId="0" fontId="14" fillId="0" borderId="56" xfId="0" applyFont="1" applyBorder="1" applyAlignment="1">
      <alignment vertical="center"/>
    </xf>
    <xf numFmtId="0" fontId="14" fillId="0" borderId="18" xfId="0" applyFont="1" applyBorder="1" applyAlignment="1">
      <alignment vertical="center"/>
    </xf>
    <xf numFmtId="0" fontId="14" fillId="0" borderId="40" xfId="0" applyFont="1" applyBorder="1" applyAlignment="1">
      <alignment vertical="center"/>
    </xf>
    <xf numFmtId="0" fontId="14" fillId="0" borderId="17" xfId="0" applyFont="1" applyBorder="1" applyAlignment="1">
      <alignment vertical="center"/>
    </xf>
    <xf numFmtId="0" fontId="14" fillId="0" borderId="49" xfId="0" applyFont="1" applyBorder="1" applyAlignment="1">
      <alignment vertical="center"/>
    </xf>
    <xf numFmtId="0" fontId="10" fillId="0" borderId="13" xfId="0" applyFont="1" applyBorder="1" applyAlignment="1">
      <alignment horizontal="center" vertical="center"/>
    </xf>
    <xf numFmtId="0" fontId="11" fillId="0" borderId="15" xfId="0" applyFont="1" applyBorder="1" applyAlignment="1">
      <alignment vertical="center"/>
    </xf>
    <xf numFmtId="0" fontId="10" fillId="0" borderId="10" xfId="0" applyFont="1" applyBorder="1" applyAlignment="1">
      <alignment vertical="center"/>
    </xf>
    <xf numFmtId="0" fontId="10" fillId="0" borderId="18" xfId="0" applyFont="1" applyBorder="1" applyAlignment="1">
      <alignment vertical="center"/>
    </xf>
    <xf numFmtId="0" fontId="11" fillId="0" borderId="107" xfId="0" applyFont="1" applyBorder="1" applyAlignment="1">
      <alignment horizontal="center" vertical="center" shrinkToFit="1"/>
    </xf>
    <xf numFmtId="0" fontId="11" fillId="0" borderId="108" xfId="0" applyFont="1" applyBorder="1" applyAlignment="1">
      <alignment horizontal="center" vertical="center" shrinkToFit="1"/>
    </xf>
    <xf numFmtId="0" fontId="11" fillId="3" borderId="41" xfId="0" applyFont="1" applyFill="1" applyBorder="1" applyAlignment="1">
      <alignment horizontal="center" vertical="center"/>
    </xf>
    <xf numFmtId="0" fontId="10" fillId="0" borderId="42" xfId="0" applyFont="1" applyBorder="1" applyAlignment="1">
      <alignment vertical="center"/>
    </xf>
    <xf numFmtId="0" fontId="10" fillId="0" borderId="43" xfId="0" applyFont="1" applyBorder="1" applyAlignment="1">
      <alignment vertical="center"/>
    </xf>
    <xf numFmtId="0" fontId="11" fillId="3" borderId="45" xfId="0" applyFont="1" applyFill="1" applyBorder="1" applyAlignment="1">
      <alignment horizontal="center" vertical="center"/>
    </xf>
    <xf numFmtId="0" fontId="11" fillId="3" borderId="58" xfId="0" applyFont="1" applyFill="1" applyBorder="1" applyAlignment="1">
      <alignment horizontal="center" vertical="center"/>
    </xf>
    <xf numFmtId="0" fontId="11" fillId="0" borderId="109" xfId="0" applyFont="1" applyBorder="1" applyAlignment="1">
      <alignment horizontal="center" vertical="center"/>
    </xf>
    <xf numFmtId="0" fontId="11" fillId="0" borderId="34" xfId="0" applyFont="1" applyBorder="1" applyAlignment="1">
      <alignment horizontal="center" vertical="center" shrinkToFit="1"/>
    </xf>
    <xf numFmtId="0" fontId="11" fillId="0" borderId="10" xfId="0" applyFont="1" applyBorder="1" applyAlignment="1">
      <alignment horizontal="center" vertical="center" shrinkToFit="1"/>
    </xf>
    <xf numFmtId="0" fontId="11" fillId="0" borderId="16" xfId="0" applyFont="1" applyBorder="1" applyAlignment="1">
      <alignment horizontal="center" vertical="center" shrinkToFit="1"/>
    </xf>
    <xf numFmtId="0" fontId="11" fillId="0" borderId="56" xfId="0" applyFont="1" applyBorder="1" applyAlignment="1">
      <alignment horizontal="center" vertical="center" shrinkToFit="1"/>
    </xf>
    <xf numFmtId="0" fontId="11" fillId="0" borderId="17" xfId="0" applyFont="1" applyBorder="1" applyAlignment="1">
      <alignment horizontal="center" vertical="center" shrinkToFit="1"/>
    </xf>
    <xf numFmtId="0" fontId="11" fillId="0" borderId="49" xfId="0" applyFont="1" applyBorder="1" applyAlignment="1">
      <alignment horizontal="center" vertical="center" shrinkToFit="1"/>
    </xf>
    <xf numFmtId="0" fontId="11" fillId="0" borderId="106" xfId="0" applyFont="1" applyBorder="1" applyAlignment="1">
      <alignment horizontal="center" vertical="center" shrinkToFit="1"/>
    </xf>
    <xf numFmtId="0" fontId="11" fillId="0" borderId="11" xfId="0" applyFont="1" applyBorder="1" applyAlignment="1">
      <alignment horizontal="center" vertical="center" shrinkToFit="1"/>
    </xf>
    <xf numFmtId="0" fontId="11" fillId="0" borderId="26" xfId="0" applyFont="1" applyBorder="1" applyAlignment="1">
      <alignment horizontal="center" vertical="center" shrinkToFit="1"/>
    </xf>
    <xf numFmtId="0" fontId="11" fillId="0" borderId="25" xfId="0" applyFont="1" applyBorder="1" applyAlignment="1">
      <alignment horizontal="center" vertical="center" shrinkToFit="1"/>
    </xf>
    <xf numFmtId="0" fontId="11" fillId="0" borderId="2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shrinkToFit="1"/>
    </xf>
    <xf numFmtId="0" fontId="10" fillId="0" borderId="13" xfId="0" applyFont="1" applyBorder="1" applyAlignment="1">
      <alignment vertical="center" shrinkToFit="1"/>
    </xf>
    <xf numFmtId="0" fontId="11" fillId="0" borderId="6" xfId="0" applyFont="1" applyBorder="1" applyAlignment="1">
      <alignment horizontal="center" vertical="center" shrinkToFit="1"/>
    </xf>
    <xf numFmtId="0" fontId="10" fillId="0" borderId="39" xfId="0" applyFont="1" applyBorder="1" applyAlignment="1">
      <alignment vertical="center" shrinkToFit="1"/>
    </xf>
    <xf numFmtId="0" fontId="10" fillId="0" borderId="40" xfId="0" applyFont="1" applyBorder="1" applyAlignment="1">
      <alignment vertical="center" shrinkToFit="1"/>
    </xf>
    <xf numFmtId="0" fontId="10" fillId="0" borderId="11" xfId="0" applyFont="1" applyBorder="1" applyAlignment="1">
      <alignment vertical="center" shrinkToFit="1"/>
    </xf>
    <xf numFmtId="0" fontId="11" fillId="0" borderId="15" xfId="0" applyFont="1" applyBorder="1" applyAlignment="1">
      <alignment horizontal="center" vertical="center" shrinkToFit="1"/>
    </xf>
    <xf numFmtId="0" fontId="11" fillId="0" borderId="48" xfId="0" applyFont="1" applyBorder="1" applyAlignment="1">
      <alignment horizontal="center" vertical="center" shrinkToFit="1"/>
    </xf>
    <xf numFmtId="0" fontId="10" fillId="0" borderId="48" xfId="0" applyFont="1" applyBorder="1" applyAlignment="1">
      <alignment vertical="center" shrinkToFit="1"/>
    </xf>
    <xf numFmtId="0" fontId="11" fillId="0" borderId="13" xfId="0" applyFont="1" applyBorder="1" applyAlignment="1">
      <alignment horizontal="center" vertical="center" shrinkToFit="1"/>
    </xf>
    <xf numFmtId="0" fontId="10" fillId="0" borderId="56" xfId="0" applyFont="1" applyBorder="1" applyAlignment="1">
      <alignment vertical="center" shrinkToFit="1"/>
    </xf>
    <xf numFmtId="0" fontId="10" fillId="0" borderId="17" xfId="0" applyFont="1" applyBorder="1" applyAlignment="1">
      <alignment vertical="center" shrinkToFit="1"/>
    </xf>
    <xf numFmtId="0" fontId="10" fillId="0" borderId="49" xfId="0" applyFont="1" applyBorder="1" applyAlignment="1">
      <alignment vertical="center" shrinkToFit="1"/>
    </xf>
    <xf numFmtId="0" fontId="10" fillId="0" borderId="10" xfId="0" applyFont="1" applyBorder="1" applyAlignment="1">
      <alignment vertical="center" shrinkToFit="1"/>
    </xf>
    <xf numFmtId="0" fontId="14" fillId="0" borderId="56" xfId="0" applyFont="1" applyBorder="1" applyAlignment="1">
      <alignment vertical="center" shrinkToFit="1"/>
    </xf>
    <xf numFmtId="0" fontId="14" fillId="0" borderId="18" xfId="0" applyFont="1" applyBorder="1" applyAlignment="1">
      <alignment vertical="center" shrinkToFit="1"/>
    </xf>
    <xf numFmtId="0" fontId="14" fillId="0" borderId="40" xfId="0" applyFont="1" applyBorder="1" applyAlignment="1">
      <alignment vertical="center" shrinkToFit="1"/>
    </xf>
    <xf numFmtId="0" fontId="14" fillId="0" borderId="17" xfId="0" applyFont="1" applyBorder="1" applyAlignment="1">
      <alignment vertical="center" shrinkToFit="1"/>
    </xf>
    <xf numFmtId="0" fontId="14" fillId="0" borderId="49" xfId="0" applyFont="1" applyBorder="1" applyAlignment="1">
      <alignment vertical="center" shrinkToFit="1"/>
    </xf>
    <xf numFmtId="0" fontId="10" fillId="0" borderId="18" xfId="0" applyFont="1" applyBorder="1" applyAlignment="1">
      <alignment vertical="center" shrinkToFit="1"/>
    </xf>
    <xf numFmtId="0" fontId="37" fillId="0" borderId="36" xfId="5" applyFont="1" applyAlignment="1">
      <alignment horizontal="center" vertical="center"/>
    </xf>
    <xf numFmtId="0" fontId="6" fillId="0" borderId="36" xfId="5" applyAlignment="1">
      <alignment horizontal="center" vertical="center"/>
    </xf>
    <xf numFmtId="0" fontId="9" fillId="0" borderId="1" xfId="0" applyFont="1" applyBorder="1" applyAlignment="1">
      <alignment horizontal="right" vertical="center"/>
    </xf>
    <xf numFmtId="0" fontId="10" fillId="0" borderId="1" xfId="0" applyFont="1" applyBorder="1" applyAlignment="1">
      <alignment vertical="center"/>
    </xf>
    <xf numFmtId="0" fontId="11" fillId="2" borderId="2" xfId="0" applyFont="1" applyFill="1" applyBorder="1" applyAlignment="1">
      <alignment horizontal="center" vertical="center" wrapText="1"/>
    </xf>
    <xf numFmtId="0" fontId="10" fillId="0" borderId="7" xfId="0" applyFont="1" applyBorder="1" applyAlignment="1">
      <alignment vertical="center"/>
    </xf>
    <xf numFmtId="0" fontId="11" fillId="2" borderId="3" xfId="0" applyFont="1" applyFill="1" applyBorder="1" applyAlignment="1">
      <alignment horizontal="center" vertical="center"/>
    </xf>
    <xf numFmtId="0" fontId="10" fillId="0" borderId="8" xfId="0" applyFont="1" applyBorder="1" applyAlignment="1">
      <alignment vertical="center"/>
    </xf>
    <xf numFmtId="0" fontId="11" fillId="2" borderId="3" xfId="0" applyFont="1" applyFill="1" applyBorder="1" applyAlignment="1">
      <alignment horizontal="center" vertical="center" wrapText="1"/>
    </xf>
    <xf numFmtId="0" fontId="11" fillId="2" borderId="38" xfId="0" applyFont="1" applyFill="1" applyBorder="1" applyAlignment="1">
      <alignment horizontal="center" vertical="center" wrapText="1"/>
    </xf>
    <xf numFmtId="0" fontId="11" fillId="2" borderId="27" xfId="0" applyFont="1" applyFill="1" applyBorder="1" applyAlignment="1">
      <alignment horizontal="center" vertical="center" wrapText="1"/>
    </xf>
    <xf numFmtId="0" fontId="10" fillId="0" borderId="5" xfId="0" applyFont="1" applyBorder="1" applyAlignment="1">
      <alignment vertical="center"/>
    </xf>
    <xf numFmtId="0" fontId="11" fillId="2" borderId="4" xfId="0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/>
    </xf>
    <xf numFmtId="0" fontId="10" fillId="0" borderId="53" xfId="0" applyFont="1" applyBorder="1" applyAlignment="1">
      <alignment vertical="center"/>
    </xf>
    <xf numFmtId="0" fontId="11" fillId="2" borderId="35" xfId="0" applyFont="1" applyFill="1" applyBorder="1" applyAlignment="1">
      <alignment horizontal="center" vertical="center" shrinkToFit="1"/>
    </xf>
    <xf numFmtId="0" fontId="10" fillId="0" borderId="37" xfId="0" applyFont="1" applyBorder="1" applyAlignment="1">
      <alignment vertical="center" shrinkToFit="1"/>
    </xf>
    <xf numFmtId="0" fontId="37" fillId="0" borderId="36" xfId="9" applyFont="1" applyAlignment="1">
      <alignment horizontal="center" vertical="center"/>
    </xf>
    <xf numFmtId="0" fontId="3" fillId="0" borderId="36" xfId="9" applyAlignment="1">
      <alignment horizontal="center" vertical="center"/>
    </xf>
    <xf numFmtId="0" fontId="18" fillId="0" borderId="86" xfId="9" applyFont="1" applyBorder="1" applyAlignment="1">
      <alignment horizontal="right" vertical="center"/>
    </xf>
    <xf numFmtId="0" fontId="3" fillId="0" borderId="86" xfId="9" applyBorder="1" applyAlignment="1">
      <alignment horizontal="right" vertical="center"/>
    </xf>
    <xf numFmtId="0" fontId="3" fillId="10" borderId="87" xfId="9" applyFill="1" applyBorder="1" applyAlignment="1">
      <alignment horizontal="center" vertical="center" wrapText="1"/>
    </xf>
    <xf numFmtId="0" fontId="3" fillId="10" borderId="89" xfId="9" applyFill="1" applyBorder="1" applyAlignment="1">
      <alignment horizontal="center" vertical="center"/>
    </xf>
    <xf numFmtId="0" fontId="3" fillId="10" borderId="67" xfId="9" applyFill="1" applyBorder="1" applyAlignment="1">
      <alignment horizontal="center" vertical="center" wrapText="1"/>
    </xf>
    <xf numFmtId="0" fontId="3" fillId="10" borderId="84" xfId="9" applyFill="1" applyBorder="1" applyAlignment="1">
      <alignment horizontal="center" vertical="center"/>
    </xf>
    <xf numFmtId="0" fontId="3" fillId="10" borderId="67" xfId="9" applyFill="1" applyBorder="1" applyAlignment="1">
      <alignment horizontal="center" vertical="center"/>
    </xf>
    <xf numFmtId="0" fontId="3" fillId="10" borderId="84" xfId="9" applyFill="1" applyBorder="1" applyAlignment="1">
      <alignment horizontal="center" vertical="center" wrapText="1"/>
    </xf>
    <xf numFmtId="0" fontId="3" fillId="10" borderId="88" xfId="9" applyFill="1" applyBorder="1" applyAlignment="1">
      <alignment horizontal="center" vertical="center"/>
    </xf>
    <xf numFmtId="0" fontId="3" fillId="10" borderId="90" xfId="9" applyFill="1" applyBorder="1" applyAlignment="1">
      <alignment horizontal="center" vertical="center"/>
    </xf>
    <xf numFmtId="0" fontId="3" fillId="0" borderId="93" xfId="9" applyBorder="1" applyAlignment="1">
      <alignment horizontal="center" vertical="center" wrapText="1"/>
    </xf>
    <xf numFmtId="0" fontId="3" fillId="0" borderId="94" xfId="9" applyBorder="1" applyAlignment="1">
      <alignment horizontal="center" vertical="center"/>
    </xf>
    <xf numFmtId="0" fontId="3" fillId="0" borderId="73" xfId="9" applyBorder="1" applyAlignment="1">
      <alignment horizontal="center" vertical="center"/>
    </xf>
    <xf numFmtId="0" fontId="3" fillId="0" borderId="48" xfId="9" applyBorder="1" applyAlignment="1">
      <alignment horizontal="center" vertical="center"/>
    </xf>
    <xf numFmtId="0" fontId="3" fillId="0" borderId="80" xfId="9" applyBorder="1" applyAlignment="1">
      <alignment horizontal="center" vertical="center"/>
    </xf>
    <xf numFmtId="0" fontId="3" fillId="0" borderId="79" xfId="9" applyBorder="1" applyAlignment="1">
      <alignment horizontal="center" vertical="center"/>
    </xf>
    <xf numFmtId="0" fontId="3" fillId="0" borderId="76" xfId="9" applyBorder="1" applyAlignment="1">
      <alignment horizontal="center" vertical="center"/>
    </xf>
    <xf numFmtId="0" fontId="3" fillId="0" borderId="48" xfId="9" applyBorder="1" applyAlignment="1">
      <alignment horizontal="center" vertical="center" wrapText="1"/>
    </xf>
    <xf numFmtId="0" fontId="12" fillId="0" borderId="48" xfId="9" applyFont="1" applyBorder="1" applyAlignment="1">
      <alignment horizontal="center" vertical="center" wrapText="1"/>
    </xf>
    <xf numFmtId="0" fontId="12" fillId="0" borderId="48" xfId="9" applyFont="1" applyBorder="1" applyAlignment="1">
      <alignment horizontal="center" vertical="center"/>
    </xf>
    <xf numFmtId="0" fontId="3" fillId="5" borderId="95" xfId="9" applyFill="1" applyBorder="1" applyAlignment="1">
      <alignment horizontal="center" vertical="center"/>
    </xf>
    <xf numFmtId="0" fontId="3" fillId="5" borderId="70" xfId="9" applyFill="1" applyBorder="1" applyAlignment="1">
      <alignment horizontal="center" vertical="center"/>
    </xf>
    <xf numFmtId="0" fontId="3" fillId="0" borderId="64" xfId="9" applyBorder="1" applyAlignment="1">
      <alignment horizontal="center" vertical="center"/>
    </xf>
    <xf numFmtId="0" fontId="3" fillId="0" borderId="113" xfId="9" applyBorder="1" applyAlignment="1">
      <alignment horizontal="center" vertical="center" wrapText="1"/>
    </xf>
    <xf numFmtId="0" fontId="3" fillId="0" borderId="104" xfId="9" applyBorder="1" applyAlignment="1">
      <alignment horizontal="center" vertical="center" wrapText="1"/>
    </xf>
    <xf numFmtId="0" fontId="3" fillId="0" borderId="91" xfId="9" applyBorder="1" applyAlignment="1">
      <alignment horizontal="center" vertical="center" wrapText="1"/>
    </xf>
    <xf numFmtId="0" fontId="3" fillId="5" borderId="101" xfId="9" applyFill="1" applyBorder="1" applyAlignment="1">
      <alignment horizontal="center" vertical="center" wrapText="1"/>
    </xf>
    <xf numFmtId="0" fontId="3" fillId="5" borderId="86" xfId="9" applyFill="1" applyBorder="1" applyAlignment="1">
      <alignment horizontal="center" vertical="center" wrapText="1"/>
    </xf>
    <xf numFmtId="0" fontId="3" fillId="5" borderId="102" xfId="9" applyFill="1" applyBorder="1" applyAlignment="1">
      <alignment horizontal="center" vertical="center" wrapText="1"/>
    </xf>
    <xf numFmtId="0" fontId="3" fillId="5" borderId="104" xfId="9" applyFill="1" applyBorder="1" applyAlignment="1">
      <alignment horizontal="center" vertical="center"/>
    </xf>
    <xf numFmtId="0" fontId="3" fillId="5" borderId="64" xfId="9" applyFill="1" applyBorder="1" applyAlignment="1">
      <alignment horizontal="center" vertical="center"/>
    </xf>
    <xf numFmtId="0" fontId="3" fillId="5" borderId="63" xfId="9" applyFill="1" applyBorder="1" applyAlignment="1">
      <alignment horizontal="center" vertical="center"/>
    </xf>
    <xf numFmtId="0" fontId="3" fillId="5" borderId="102" xfId="9" applyFill="1" applyBorder="1" applyAlignment="1">
      <alignment horizontal="center" vertical="center"/>
    </xf>
    <xf numFmtId="0" fontId="3" fillId="5" borderId="41" xfId="9" applyFill="1" applyBorder="1" applyAlignment="1">
      <alignment horizontal="center" vertical="center"/>
    </xf>
    <xf numFmtId="0" fontId="3" fillId="5" borderId="42" xfId="9" applyFill="1" applyBorder="1" applyAlignment="1">
      <alignment horizontal="center" vertical="center"/>
    </xf>
    <xf numFmtId="0" fontId="3" fillId="5" borderId="97" xfId="9" applyFill="1" applyBorder="1" applyAlignment="1">
      <alignment horizontal="center" vertical="center"/>
    </xf>
    <xf numFmtId="0" fontId="3" fillId="5" borderId="98" xfId="9" applyFill="1" applyBorder="1" applyAlignment="1">
      <alignment horizontal="center" vertical="center"/>
    </xf>
    <xf numFmtId="0" fontId="3" fillId="5" borderId="99" xfId="9" applyFill="1" applyBorder="1" applyAlignment="1">
      <alignment horizontal="center" vertical="center"/>
    </xf>
    <xf numFmtId="0" fontId="3" fillId="5" borderId="83" xfId="9" applyFill="1" applyBorder="1" applyAlignment="1">
      <alignment horizontal="center" vertical="center"/>
    </xf>
    <xf numFmtId="0" fontId="3" fillId="0" borderId="105" xfId="9" applyBorder="1" applyAlignment="1">
      <alignment horizontal="center" vertical="center" wrapText="1"/>
    </xf>
  </cellXfs>
  <cellStyles count="12">
    <cellStyle name="표준" xfId="0" builtinId="0"/>
    <cellStyle name="표준 2" xfId="1" xr:uid="{00000000-0005-0000-0000-000001000000}"/>
    <cellStyle name="표준 3" xfId="2" xr:uid="{00000000-0005-0000-0000-000002000000}"/>
    <cellStyle name="표준 3 2" xfId="3" xr:uid="{1A4EA1E6-8B81-4DC6-A2B5-12ED9C350229}"/>
    <cellStyle name="표준 3 2 2" xfId="8" xr:uid="{3A4B0848-35F2-4F25-B646-75E3E6752D83}"/>
    <cellStyle name="표준 3 3" xfId="7" xr:uid="{9D1DD964-D51E-4673-B241-3A765A0F7F53}"/>
    <cellStyle name="표준 4" xfId="4" xr:uid="{0FD280D1-54A5-43A4-AE3B-D25E2FEA54EE}"/>
    <cellStyle name="표준 5" xfId="5" xr:uid="{0EB665F2-D95D-47C2-8D7E-5CF01651A93F}"/>
    <cellStyle name="표준 5 2" xfId="11" xr:uid="{59C5F52C-966C-4413-AB87-F10A89A62E7E}"/>
    <cellStyle name="표준 6" xfId="6" xr:uid="{BF009672-67EC-4FF2-ADE4-ECC4A86FC22E}"/>
    <cellStyle name="표준 6 2" xfId="10" xr:uid="{8E34AC68-DE5C-45A3-BEC2-F223B60873A0}"/>
    <cellStyle name="표준 7" xfId="9" xr:uid="{80AEB59D-DF21-489C-9BEF-9B0C3503DF92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28" Type="http://schemas.openxmlformats.org/officeDocument/2006/relationships/theme" Target="theme/theme1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27" Type="http://customschemas.google.com/relationships/workbookmetadata" Target="metadata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D2809-D18C-4417-A9C1-F9DB6B66D666}">
  <sheetPr>
    <pageSetUpPr fitToPage="1"/>
  </sheetPr>
  <dimension ref="A1:P98"/>
  <sheetViews>
    <sheetView zoomScaleNormal="100" workbookViewId="0">
      <pane ySplit="4" topLeftCell="A32" activePane="bottomLeft" state="frozen"/>
      <selection sqref="A1:Q1"/>
      <selection pane="bottomLeft" activeCell="Q66" sqref="Q66"/>
    </sheetView>
  </sheetViews>
  <sheetFormatPr defaultColWidth="10.33203125" defaultRowHeight="14.4"/>
  <cols>
    <col min="1" max="1" width="8.33203125" style="109" customWidth="1"/>
    <col min="2" max="2" width="9.88671875" style="109" customWidth="1"/>
    <col min="3" max="3" width="5.6640625" style="109" bestFit="1" customWidth="1"/>
    <col min="4" max="4" width="17.109375" style="109" customWidth="1"/>
    <col min="5" max="6" width="9" style="109" customWidth="1"/>
    <col min="7" max="12" width="9.44140625" style="109" customWidth="1"/>
    <col min="13" max="14" width="10.33203125" style="109"/>
    <col min="15" max="15" width="34.6640625" style="109" customWidth="1"/>
    <col min="16" max="16" width="10.33203125" style="109"/>
    <col min="17" max="17" width="21.44140625" style="109" customWidth="1"/>
    <col min="18" max="16384" width="10.33203125" style="109"/>
  </cols>
  <sheetData>
    <row r="1" spans="1:16" ht="33" customHeight="1">
      <c r="A1" s="241" t="s">
        <v>420</v>
      </c>
      <c r="B1" s="242"/>
      <c r="C1" s="242"/>
      <c r="D1" s="242"/>
      <c r="E1" s="242"/>
      <c r="F1" s="242"/>
      <c r="G1" s="242"/>
      <c r="H1" s="242"/>
      <c r="I1" s="242"/>
      <c r="J1" s="242"/>
      <c r="K1" s="242"/>
      <c r="L1" s="242"/>
      <c r="M1" s="242"/>
      <c r="N1" s="242"/>
      <c r="O1" s="242"/>
      <c r="P1" s="242"/>
    </row>
    <row r="2" spans="1:16" ht="33" customHeight="1" thickBot="1">
      <c r="A2" s="243" t="s">
        <v>565</v>
      </c>
      <c r="B2" s="243"/>
      <c r="C2" s="243"/>
      <c r="D2" s="243"/>
      <c r="E2" s="243"/>
      <c r="F2" s="243"/>
      <c r="G2" s="243"/>
      <c r="H2" s="243"/>
      <c r="I2" s="243"/>
      <c r="J2" s="243"/>
      <c r="K2" s="243"/>
      <c r="L2" s="243"/>
      <c r="M2" s="243"/>
      <c r="N2" s="243"/>
      <c r="O2" s="243"/>
      <c r="P2" s="110"/>
    </row>
    <row r="3" spans="1:16" ht="34.950000000000003" customHeight="1">
      <c r="A3" s="244" t="s">
        <v>59</v>
      </c>
      <c r="B3" s="246" t="s">
        <v>58</v>
      </c>
      <c r="C3" s="247" t="s">
        <v>386</v>
      </c>
      <c r="D3" s="246" t="s">
        <v>387</v>
      </c>
      <c r="E3" s="244" t="s">
        <v>399</v>
      </c>
      <c r="F3" s="244" t="s">
        <v>400</v>
      </c>
      <c r="G3" s="247" t="s">
        <v>388</v>
      </c>
      <c r="H3" s="247"/>
      <c r="I3" s="247" t="s">
        <v>389</v>
      </c>
      <c r="J3" s="247"/>
      <c r="K3" s="247" t="s">
        <v>390</v>
      </c>
      <c r="L3" s="247"/>
      <c r="M3" s="249" t="s">
        <v>379</v>
      </c>
      <c r="N3" s="250"/>
      <c r="O3" s="251" t="s">
        <v>391</v>
      </c>
      <c r="P3" s="111"/>
    </row>
    <row r="4" spans="1:16" ht="15" thickBot="1">
      <c r="A4" s="245"/>
      <c r="B4" s="245"/>
      <c r="C4" s="248"/>
      <c r="D4" s="245"/>
      <c r="E4" s="248"/>
      <c r="F4" s="248"/>
      <c r="G4" s="112" t="s">
        <v>380</v>
      </c>
      <c r="H4" s="112" t="s">
        <v>381</v>
      </c>
      <c r="I4" s="112" t="s">
        <v>380</v>
      </c>
      <c r="J4" s="112" t="s">
        <v>381</v>
      </c>
      <c r="K4" s="112" t="s">
        <v>380</v>
      </c>
      <c r="L4" s="112" t="s">
        <v>381</v>
      </c>
      <c r="M4" s="112" t="s">
        <v>380</v>
      </c>
      <c r="N4" s="113" t="s">
        <v>381</v>
      </c>
      <c r="O4" s="252"/>
    </row>
    <row r="5" spans="1:16">
      <c r="A5" s="239" t="s">
        <v>417</v>
      </c>
      <c r="B5" s="217" t="s">
        <v>62</v>
      </c>
      <c r="C5" s="114" t="s">
        <v>15</v>
      </c>
      <c r="D5" s="114" t="s">
        <v>16</v>
      </c>
      <c r="E5" s="114">
        <v>4</v>
      </c>
      <c r="F5" s="114">
        <v>4</v>
      </c>
      <c r="G5" s="114">
        <v>4</v>
      </c>
      <c r="H5" s="114"/>
      <c r="I5" s="114"/>
      <c r="J5" s="114"/>
      <c r="K5" s="114"/>
      <c r="L5" s="114"/>
      <c r="M5" s="114" t="s">
        <v>382</v>
      </c>
      <c r="N5" s="115" t="s">
        <v>383</v>
      </c>
      <c r="O5" s="116" t="s">
        <v>17</v>
      </c>
    </row>
    <row r="6" spans="1:16">
      <c r="A6" s="216"/>
      <c r="B6" s="217"/>
      <c r="C6" s="114" t="s">
        <v>15</v>
      </c>
      <c r="D6" s="114" t="s">
        <v>18</v>
      </c>
      <c r="E6" s="114">
        <v>4</v>
      </c>
      <c r="F6" s="114">
        <v>4</v>
      </c>
      <c r="G6" s="114"/>
      <c r="H6" s="114">
        <v>4</v>
      </c>
      <c r="I6" s="114"/>
      <c r="J6" s="114"/>
      <c r="K6" s="114"/>
      <c r="L6" s="114"/>
      <c r="M6" s="115" t="s">
        <v>383</v>
      </c>
      <c r="N6" s="115" t="s">
        <v>382</v>
      </c>
      <c r="O6" s="116" t="s">
        <v>17</v>
      </c>
    </row>
    <row r="7" spans="1:16" ht="17.399999999999999">
      <c r="A7" s="216"/>
      <c r="B7" s="240"/>
      <c r="C7" s="117" t="s">
        <v>19</v>
      </c>
      <c r="D7" s="138" t="s">
        <v>424</v>
      </c>
      <c r="E7" s="117">
        <v>5</v>
      </c>
      <c r="F7" s="117">
        <v>4</v>
      </c>
      <c r="G7" s="117"/>
      <c r="H7" s="117"/>
      <c r="I7" s="117">
        <v>4</v>
      </c>
      <c r="J7" s="117"/>
      <c r="K7" s="117"/>
      <c r="L7" s="117"/>
      <c r="M7" s="117" t="s">
        <v>382</v>
      </c>
      <c r="N7" s="115" t="s">
        <v>383</v>
      </c>
      <c r="O7" s="116" t="s">
        <v>17</v>
      </c>
    </row>
    <row r="8" spans="1:16" ht="17.399999999999999">
      <c r="A8" s="216"/>
      <c r="B8" s="240"/>
      <c r="C8" s="117" t="s">
        <v>19</v>
      </c>
      <c r="D8" s="138" t="s">
        <v>425</v>
      </c>
      <c r="E8" s="117">
        <v>5</v>
      </c>
      <c r="F8" s="117">
        <v>4</v>
      </c>
      <c r="G8" s="117"/>
      <c r="H8" s="117"/>
      <c r="I8" s="117"/>
      <c r="J8" s="117">
        <v>4</v>
      </c>
      <c r="K8" s="117"/>
      <c r="L8" s="117"/>
      <c r="M8" s="115" t="s">
        <v>383</v>
      </c>
      <c r="N8" s="115" t="s">
        <v>382</v>
      </c>
      <c r="O8" s="116" t="s">
        <v>17</v>
      </c>
    </row>
    <row r="9" spans="1:16">
      <c r="A9" s="216"/>
      <c r="B9" s="240" t="s">
        <v>76</v>
      </c>
      <c r="C9" s="117" t="s">
        <v>15</v>
      </c>
      <c r="D9" s="117" t="s">
        <v>21</v>
      </c>
      <c r="E9" s="117">
        <v>4</v>
      </c>
      <c r="F9" s="117">
        <v>4</v>
      </c>
      <c r="G9" s="117">
        <v>4</v>
      </c>
      <c r="H9" s="117"/>
      <c r="I9" s="117"/>
      <c r="J9" s="117"/>
      <c r="K9" s="117"/>
      <c r="L9" s="117"/>
      <c r="M9" s="114" t="s">
        <v>382</v>
      </c>
      <c r="N9" s="115" t="s">
        <v>383</v>
      </c>
      <c r="O9" s="116" t="s">
        <v>17</v>
      </c>
    </row>
    <row r="10" spans="1:16">
      <c r="A10" s="216"/>
      <c r="B10" s="240"/>
      <c r="C10" s="117" t="s">
        <v>15</v>
      </c>
      <c r="D10" s="117" t="s">
        <v>22</v>
      </c>
      <c r="E10" s="117">
        <v>4</v>
      </c>
      <c r="F10" s="117">
        <v>4</v>
      </c>
      <c r="G10" s="117"/>
      <c r="H10" s="117">
        <v>4</v>
      </c>
      <c r="I10" s="117"/>
      <c r="J10" s="117"/>
      <c r="K10" s="117"/>
      <c r="L10" s="117"/>
      <c r="M10" s="115" t="s">
        <v>383</v>
      </c>
      <c r="N10" s="114" t="s">
        <v>382</v>
      </c>
      <c r="O10" s="116" t="s">
        <v>17</v>
      </c>
    </row>
    <row r="11" spans="1:16" ht="17.399999999999999">
      <c r="A11" s="216"/>
      <c r="B11" s="240"/>
      <c r="C11" s="117" t="s">
        <v>19</v>
      </c>
      <c r="D11" s="138" t="s">
        <v>427</v>
      </c>
      <c r="E11" s="117">
        <v>5</v>
      </c>
      <c r="F11" s="117">
        <v>4</v>
      </c>
      <c r="G11" s="117"/>
      <c r="H11" s="117"/>
      <c r="I11" s="117">
        <v>4</v>
      </c>
      <c r="J11" s="117"/>
      <c r="K11" s="117"/>
      <c r="L11" s="117"/>
      <c r="M11" s="114" t="s">
        <v>382</v>
      </c>
      <c r="N11" s="115" t="s">
        <v>383</v>
      </c>
      <c r="O11" s="116" t="s">
        <v>17</v>
      </c>
    </row>
    <row r="12" spans="1:16">
      <c r="A12" s="216"/>
      <c r="B12" s="240"/>
      <c r="C12" s="117" t="s">
        <v>19</v>
      </c>
      <c r="D12" s="117" t="s">
        <v>428</v>
      </c>
      <c r="E12" s="117">
        <v>5</v>
      </c>
      <c r="F12" s="117">
        <v>4</v>
      </c>
      <c r="G12" s="117"/>
      <c r="H12" s="117"/>
      <c r="I12" s="117"/>
      <c r="J12" s="117">
        <v>4</v>
      </c>
      <c r="K12" s="117"/>
      <c r="L12" s="117"/>
      <c r="M12" s="115" t="s">
        <v>383</v>
      </c>
      <c r="N12" s="114" t="s">
        <v>382</v>
      </c>
      <c r="O12" s="116" t="s">
        <v>17</v>
      </c>
    </row>
    <row r="13" spans="1:16">
      <c r="A13" s="216"/>
      <c r="B13" s="220" t="s">
        <v>92</v>
      </c>
      <c r="C13" s="117" t="s">
        <v>15</v>
      </c>
      <c r="D13" s="117" t="s">
        <v>24</v>
      </c>
      <c r="E13" s="117">
        <v>4</v>
      </c>
      <c r="F13" s="117">
        <v>4</v>
      </c>
      <c r="G13" s="117">
        <v>4</v>
      </c>
      <c r="H13" s="117"/>
      <c r="I13" s="117"/>
      <c r="J13" s="117"/>
      <c r="K13" s="117"/>
      <c r="L13" s="117"/>
      <c r="M13" s="114" t="s">
        <v>382</v>
      </c>
      <c r="N13" s="115" t="s">
        <v>383</v>
      </c>
      <c r="O13" s="116" t="s">
        <v>17</v>
      </c>
    </row>
    <row r="14" spans="1:16">
      <c r="A14" s="216"/>
      <c r="B14" s="216"/>
      <c r="C14" s="117" t="s">
        <v>15</v>
      </c>
      <c r="D14" s="117" t="s">
        <v>25</v>
      </c>
      <c r="E14" s="117">
        <v>4</v>
      </c>
      <c r="F14" s="117">
        <v>4</v>
      </c>
      <c r="G14" s="117"/>
      <c r="H14" s="117">
        <v>4</v>
      </c>
      <c r="I14" s="117"/>
      <c r="J14" s="117"/>
      <c r="K14" s="117"/>
      <c r="L14" s="117"/>
      <c r="M14" s="115" t="s">
        <v>383</v>
      </c>
      <c r="N14" s="114" t="s">
        <v>382</v>
      </c>
      <c r="O14" s="116" t="s">
        <v>17</v>
      </c>
    </row>
    <row r="15" spans="1:16" ht="17.399999999999999">
      <c r="A15" s="216"/>
      <c r="B15" s="216"/>
      <c r="C15" s="117" t="s">
        <v>19</v>
      </c>
      <c r="D15" s="138" t="s">
        <v>430</v>
      </c>
      <c r="E15" s="117">
        <v>5</v>
      </c>
      <c r="F15" s="117">
        <v>4</v>
      </c>
      <c r="G15" s="117"/>
      <c r="H15" s="117"/>
      <c r="I15" s="117">
        <v>4</v>
      </c>
      <c r="J15" s="117"/>
      <c r="K15" s="117"/>
      <c r="L15" s="117"/>
      <c r="M15" s="114" t="s">
        <v>382</v>
      </c>
      <c r="N15" s="115" t="s">
        <v>383</v>
      </c>
      <c r="O15" s="116" t="s">
        <v>17</v>
      </c>
    </row>
    <row r="16" spans="1:16" ht="17.399999999999999">
      <c r="A16" s="216"/>
      <c r="B16" s="217"/>
      <c r="C16" s="117" t="s">
        <v>19</v>
      </c>
      <c r="D16" s="138" t="s">
        <v>621</v>
      </c>
      <c r="E16" s="117">
        <v>5</v>
      </c>
      <c r="F16" s="117">
        <v>4</v>
      </c>
      <c r="G16" s="117"/>
      <c r="H16" s="117"/>
      <c r="I16" s="117"/>
      <c r="J16" s="117">
        <v>4</v>
      </c>
      <c r="K16" s="117"/>
      <c r="L16" s="117"/>
      <c r="M16" s="115" t="s">
        <v>383</v>
      </c>
      <c r="N16" s="114" t="s">
        <v>382</v>
      </c>
      <c r="O16" s="116" t="s">
        <v>17</v>
      </c>
    </row>
    <row r="17" spans="1:15">
      <c r="A17" s="216"/>
      <c r="B17" s="240" t="s">
        <v>378</v>
      </c>
      <c r="C17" s="117" t="s">
        <v>15</v>
      </c>
      <c r="D17" s="117" t="s">
        <v>26</v>
      </c>
      <c r="E17" s="117">
        <v>3</v>
      </c>
      <c r="F17" s="117">
        <v>3</v>
      </c>
      <c r="G17" s="117">
        <v>3</v>
      </c>
      <c r="H17" s="117"/>
      <c r="I17" s="117"/>
      <c r="J17" s="117"/>
      <c r="K17" s="117"/>
      <c r="L17" s="117"/>
      <c r="M17" s="114" t="s">
        <v>382</v>
      </c>
      <c r="N17" s="115" t="s">
        <v>383</v>
      </c>
      <c r="O17" s="116" t="s">
        <v>17</v>
      </c>
    </row>
    <row r="18" spans="1:15">
      <c r="A18" s="216"/>
      <c r="B18" s="240"/>
      <c r="C18" s="117" t="s">
        <v>15</v>
      </c>
      <c r="D18" s="117" t="s">
        <v>27</v>
      </c>
      <c r="E18" s="117">
        <v>3</v>
      </c>
      <c r="F18" s="117">
        <v>3</v>
      </c>
      <c r="G18" s="117"/>
      <c r="H18" s="117">
        <v>3</v>
      </c>
      <c r="I18" s="117"/>
      <c r="J18" s="117"/>
      <c r="K18" s="117"/>
      <c r="L18" s="117"/>
      <c r="M18" s="115" t="s">
        <v>383</v>
      </c>
      <c r="N18" s="114" t="s">
        <v>382</v>
      </c>
      <c r="O18" s="116" t="s">
        <v>17</v>
      </c>
    </row>
    <row r="19" spans="1:15">
      <c r="A19" s="216"/>
      <c r="B19" s="240"/>
      <c r="C19" s="117" t="s">
        <v>15</v>
      </c>
      <c r="D19" s="117" t="s">
        <v>28</v>
      </c>
      <c r="E19" s="117">
        <v>4</v>
      </c>
      <c r="F19" s="117">
        <v>4</v>
      </c>
      <c r="G19" s="117">
        <v>4</v>
      </c>
      <c r="H19" s="117"/>
      <c r="I19" s="117"/>
      <c r="J19" s="117"/>
      <c r="K19" s="117"/>
      <c r="L19" s="117"/>
      <c r="M19" s="114" t="s">
        <v>382</v>
      </c>
      <c r="N19" s="115" t="s">
        <v>383</v>
      </c>
      <c r="O19" s="116" t="s">
        <v>17</v>
      </c>
    </row>
    <row r="20" spans="1:15">
      <c r="A20" s="216"/>
      <c r="B20" s="240"/>
      <c r="C20" s="117" t="s">
        <v>15</v>
      </c>
      <c r="D20" s="117" t="s">
        <v>29</v>
      </c>
      <c r="E20" s="117">
        <v>4</v>
      </c>
      <c r="F20" s="117">
        <v>4</v>
      </c>
      <c r="G20" s="117"/>
      <c r="H20" s="117">
        <v>4</v>
      </c>
      <c r="I20" s="117"/>
      <c r="J20" s="117"/>
      <c r="K20" s="117"/>
      <c r="L20" s="117"/>
      <c r="M20" s="115" t="s">
        <v>383</v>
      </c>
      <c r="N20" s="114" t="s">
        <v>382</v>
      </c>
      <c r="O20" s="116" t="s">
        <v>17</v>
      </c>
    </row>
    <row r="21" spans="1:15">
      <c r="A21" s="216"/>
      <c r="B21" s="240" t="s">
        <v>128</v>
      </c>
      <c r="C21" s="117" t="s">
        <v>15</v>
      </c>
      <c r="D21" s="117" t="s">
        <v>30</v>
      </c>
      <c r="E21" s="117">
        <v>4</v>
      </c>
      <c r="F21" s="117">
        <v>4</v>
      </c>
      <c r="G21" s="117">
        <v>4</v>
      </c>
      <c r="H21" s="117"/>
      <c r="I21" s="117"/>
      <c r="J21" s="117"/>
      <c r="K21" s="117"/>
      <c r="L21" s="117"/>
      <c r="M21" s="114" t="s">
        <v>382</v>
      </c>
      <c r="N21" s="115" t="s">
        <v>383</v>
      </c>
      <c r="O21" s="116" t="s">
        <v>17</v>
      </c>
    </row>
    <row r="22" spans="1:15">
      <c r="A22" s="216"/>
      <c r="B22" s="240"/>
      <c r="C22" s="117" t="s">
        <v>15</v>
      </c>
      <c r="D22" s="117" t="s">
        <v>31</v>
      </c>
      <c r="E22" s="117">
        <v>4</v>
      </c>
      <c r="F22" s="117">
        <v>4</v>
      </c>
      <c r="G22" s="117"/>
      <c r="H22" s="117">
        <v>4</v>
      </c>
      <c r="I22" s="117"/>
      <c r="J22" s="117"/>
      <c r="K22" s="117"/>
      <c r="L22" s="117"/>
      <c r="M22" s="115" t="s">
        <v>383</v>
      </c>
      <c r="N22" s="114" t="s">
        <v>382</v>
      </c>
      <c r="O22" s="116" t="s">
        <v>17</v>
      </c>
    </row>
    <row r="23" spans="1:15">
      <c r="A23" s="216"/>
      <c r="B23" s="240"/>
      <c r="C23" s="117" t="s">
        <v>15</v>
      </c>
      <c r="D23" s="117" t="s">
        <v>32</v>
      </c>
      <c r="E23" s="117">
        <v>1</v>
      </c>
      <c r="F23" s="117">
        <v>1</v>
      </c>
      <c r="G23" s="117">
        <v>1</v>
      </c>
      <c r="H23" s="117"/>
      <c r="I23" s="117"/>
      <c r="J23" s="117"/>
      <c r="K23" s="117"/>
      <c r="L23" s="117"/>
      <c r="M23" s="114" t="s">
        <v>382</v>
      </c>
      <c r="N23" s="115" t="s">
        <v>383</v>
      </c>
      <c r="O23" s="116" t="s">
        <v>33</v>
      </c>
    </row>
    <row r="24" spans="1:15">
      <c r="A24" s="216"/>
      <c r="B24" s="240"/>
      <c r="C24" s="117" t="s">
        <v>15</v>
      </c>
      <c r="D24" s="117" t="s">
        <v>34</v>
      </c>
      <c r="E24" s="117">
        <v>1</v>
      </c>
      <c r="F24" s="117">
        <v>1</v>
      </c>
      <c r="G24" s="117"/>
      <c r="H24" s="117">
        <v>1</v>
      </c>
      <c r="I24" s="117"/>
      <c r="J24" s="117"/>
      <c r="K24" s="117"/>
      <c r="L24" s="117"/>
      <c r="M24" s="115" t="s">
        <v>383</v>
      </c>
      <c r="N24" s="114" t="s">
        <v>382</v>
      </c>
      <c r="O24" s="116" t="s">
        <v>33</v>
      </c>
    </row>
    <row r="25" spans="1:15">
      <c r="A25" s="216"/>
      <c r="B25" s="240" t="s">
        <v>146</v>
      </c>
      <c r="C25" s="117" t="s">
        <v>19</v>
      </c>
      <c r="D25" s="117" t="s">
        <v>35</v>
      </c>
      <c r="E25" s="117">
        <v>3</v>
      </c>
      <c r="F25" s="117">
        <v>2</v>
      </c>
      <c r="G25" s="117">
        <v>2</v>
      </c>
      <c r="H25" s="117"/>
      <c r="I25" s="117"/>
      <c r="J25" s="117"/>
      <c r="K25" s="117"/>
      <c r="L25" s="117"/>
      <c r="M25" s="114" t="s">
        <v>382</v>
      </c>
      <c r="N25" s="115" t="s">
        <v>383</v>
      </c>
      <c r="O25" s="116" t="s">
        <v>33</v>
      </c>
    </row>
    <row r="26" spans="1:15">
      <c r="A26" s="216"/>
      <c r="B26" s="240"/>
      <c r="C26" s="117" t="s">
        <v>19</v>
      </c>
      <c r="D26" s="117" t="s">
        <v>36</v>
      </c>
      <c r="E26" s="117">
        <v>3</v>
      </c>
      <c r="F26" s="117">
        <v>2</v>
      </c>
      <c r="G26" s="117"/>
      <c r="H26" s="117">
        <v>2</v>
      </c>
      <c r="I26" s="117"/>
      <c r="J26" s="117"/>
      <c r="K26" s="117"/>
      <c r="L26" s="117"/>
      <c r="M26" s="115" t="s">
        <v>383</v>
      </c>
      <c r="N26" s="114" t="s">
        <v>382</v>
      </c>
      <c r="O26" s="116" t="s">
        <v>33</v>
      </c>
    </row>
    <row r="27" spans="1:15" ht="17.399999999999999">
      <c r="A27" s="216"/>
      <c r="B27" s="240"/>
      <c r="C27" s="117" t="s">
        <v>37</v>
      </c>
      <c r="D27" s="139" t="s">
        <v>435</v>
      </c>
      <c r="E27" s="117">
        <v>2</v>
      </c>
      <c r="F27" s="117">
        <v>1</v>
      </c>
      <c r="G27" s="117"/>
      <c r="H27" s="117"/>
      <c r="I27" s="117">
        <v>1</v>
      </c>
      <c r="J27" s="117"/>
      <c r="K27" s="117"/>
      <c r="L27" s="117"/>
      <c r="M27" s="115" t="s">
        <v>382</v>
      </c>
      <c r="N27" s="114" t="s">
        <v>383</v>
      </c>
      <c r="O27" s="116" t="s">
        <v>33</v>
      </c>
    </row>
    <row r="28" spans="1:15" ht="17.399999999999999">
      <c r="A28" s="216"/>
      <c r="B28" s="240"/>
      <c r="C28" s="117" t="s">
        <v>37</v>
      </c>
      <c r="D28" s="139" t="s">
        <v>436</v>
      </c>
      <c r="E28" s="117">
        <v>2</v>
      </c>
      <c r="F28" s="117">
        <v>1</v>
      </c>
      <c r="G28" s="117"/>
      <c r="H28" s="117"/>
      <c r="I28" s="117"/>
      <c r="J28" s="117">
        <v>1</v>
      </c>
      <c r="K28" s="117"/>
      <c r="L28" s="117"/>
      <c r="M28" s="115" t="s">
        <v>383</v>
      </c>
      <c r="N28" s="114" t="s">
        <v>382</v>
      </c>
      <c r="O28" s="116" t="s">
        <v>33</v>
      </c>
    </row>
    <row r="29" spans="1:15">
      <c r="A29" s="216"/>
      <c r="B29" s="240"/>
      <c r="C29" s="117" t="s">
        <v>19</v>
      </c>
      <c r="D29" s="117" t="s">
        <v>566</v>
      </c>
      <c r="E29" s="117">
        <v>5</v>
      </c>
      <c r="F29" s="117">
        <v>4</v>
      </c>
      <c r="G29" s="117"/>
      <c r="H29" s="117"/>
      <c r="I29" s="117"/>
      <c r="J29" s="117"/>
      <c r="K29" s="117">
        <v>2</v>
      </c>
      <c r="L29" s="117">
        <v>2</v>
      </c>
      <c r="M29" s="114" t="s">
        <v>382</v>
      </c>
      <c r="N29" s="114" t="s">
        <v>382</v>
      </c>
      <c r="O29" s="116" t="s">
        <v>33</v>
      </c>
    </row>
    <row r="30" spans="1:15" ht="17.399999999999999">
      <c r="A30" s="216"/>
      <c r="B30" s="220" t="s">
        <v>156</v>
      </c>
      <c r="C30" s="139" t="s">
        <v>567</v>
      </c>
      <c r="D30" s="210" t="s">
        <v>440</v>
      </c>
      <c r="E30" s="220">
        <v>3</v>
      </c>
      <c r="F30" s="220">
        <v>2</v>
      </c>
      <c r="G30" s="117"/>
      <c r="H30" s="117"/>
      <c r="I30" s="220">
        <v>2</v>
      </c>
      <c r="J30" s="220">
        <v>2</v>
      </c>
      <c r="K30" s="117"/>
      <c r="L30" s="117"/>
      <c r="M30" s="114" t="s">
        <v>382</v>
      </c>
      <c r="N30" s="114" t="s">
        <v>382</v>
      </c>
      <c r="O30" s="116" t="s">
        <v>33</v>
      </c>
    </row>
    <row r="31" spans="1:15">
      <c r="A31" s="216"/>
      <c r="B31" s="217"/>
      <c r="C31" s="117" t="s">
        <v>19</v>
      </c>
      <c r="D31" s="211"/>
      <c r="E31" s="217"/>
      <c r="F31" s="217"/>
      <c r="G31" s="117"/>
      <c r="H31" s="117"/>
      <c r="I31" s="217"/>
      <c r="J31" s="217"/>
      <c r="K31" s="117"/>
      <c r="L31" s="117"/>
      <c r="M31" s="114" t="s">
        <v>382</v>
      </c>
      <c r="N31" s="114" t="s">
        <v>382</v>
      </c>
      <c r="O31" s="116" t="s">
        <v>33</v>
      </c>
    </row>
    <row r="32" spans="1:15">
      <c r="A32" s="216"/>
      <c r="B32" s="220" t="s">
        <v>166</v>
      </c>
      <c r="C32" s="117" t="s">
        <v>19</v>
      </c>
      <c r="D32" s="215" t="s">
        <v>612</v>
      </c>
      <c r="E32" s="220">
        <v>4</v>
      </c>
      <c r="F32" s="220">
        <v>3</v>
      </c>
      <c r="G32" s="220">
        <v>3</v>
      </c>
      <c r="H32" s="220">
        <v>3</v>
      </c>
      <c r="I32" s="117"/>
      <c r="J32" s="117"/>
      <c r="K32" s="117"/>
      <c r="L32" s="117"/>
      <c r="M32" s="114" t="s">
        <v>382</v>
      </c>
      <c r="N32" s="114" t="s">
        <v>382</v>
      </c>
      <c r="O32" s="116" t="s">
        <v>17</v>
      </c>
    </row>
    <row r="33" spans="1:15" ht="15" thickBot="1">
      <c r="A33" s="216"/>
      <c r="B33" s="232"/>
      <c r="C33" s="117" t="s">
        <v>19</v>
      </c>
      <c r="D33" s="238"/>
      <c r="E33" s="232"/>
      <c r="F33" s="232"/>
      <c r="G33" s="232"/>
      <c r="H33" s="232"/>
      <c r="I33" s="117"/>
      <c r="J33" s="117"/>
      <c r="K33" s="117"/>
      <c r="L33" s="117"/>
      <c r="M33" s="114" t="s">
        <v>382</v>
      </c>
      <c r="N33" s="114" t="s">
        <v>382</v>
      </c>
      <c r="O33" s="116" t="s">
        <v>17</v>
      </c>
    </row>
    <row r="34" spans="1:15" ht="15" thickBot="1">
      <c r="A34" s="233"/>
      <c r="B34" s="233"/>
      <c r="C34" s="233"/>
      <c r="D34" s="233"/>
      <c r="E34" s="119"/>
      <c r="F34" s="119"/>
      <c r="G34" s="120">
        <f t="shared" ref="G34:L34" si="0">SUM(G5:G33)</f>
        <v>29</v>
      </c>
      <c r="H34" s="120">
        <f t="shared" si="0"/>
        <v>29</v>
      </c>
      <c r="I34" s="120">
        <f t="shared" si="0"/>
        <v>15</v>
      </c>
      <c r="J34" s="120">
        <f t="shared" si="0"/>
        <v>15</v>
      </c>
      <c r="K34" s="120">
        <f t="shared" si="0"/>
        <v>2</v>
      </c>
      <c r="L34" s="120">
        <f t="shared" si="0"/>
        <v>2</v>
      </c>
      <c r="M34" s="119"/>
      <c r="N34" s="121"/>
      <c r="O34" s="122"/>
    </row>
    <row r="35" spans="1:15" ht="17.399999999999999" customHeight="1">
      <c r="A35" s="234" t="s">
        <v>418</v>
      </c>
      <c r="B35" s="235" t="s">
        <v>57</v>
      </c>
      <c r="C35" s="150" t="s">
        <v>587</v>
      </c>
      <c r="D35" s="141" t="s">
        <v>443</v>
      </c>
      <c r="E35" s="114">
        <v>4</v>
      </c>
      <c r="F35" s="114">
        <v>4</v>
      </c>
      <c r="G35" s="114"/>
      <c r="H35" s="114"/>
      <c r="I35" s="123">
        <v>4</v>
      </c>
      <c r="J35" s="142"/>
      <c r="K35" s="114"/>
      <c r="L35" s="114"/>
      <c r="M35" s="115" t="s">
        <v>382</v>
      </c>
      <c r="N35" s="114" t="s">
        <v>383</v>
      </c>
      <c r="O35" s="116" t="s">
        <v>17</v>
      </c>
    </row>
    <row r="36" spans="1:15" ht="17.399999999999999">
      <c r="A36" s="213"/>
      <c r="B36" s="216"/>
      <c r="C36" s="151" t="s">
        <v>567</v>
      </c>
      <c r="D36" s="138" t="s">
        <v>444</v>
      </c>
      <c r="E36" s="117">
        <v>4</v>
      </c>
      <c r="F36" s="117">
        <v>4</v>
      </c>
      <c r="G36" s="117"/>
      <c r="H36" s="117"/>
      <c r="I36" s="124">
        <v>4</v>
      </c>
      <c r="J36" s="117"/>
      <c r="K36" s="117"/>
      <c r="L36" s="117"/>
      <c r="M36" s="114" t="s">
        <v>382</v>
      </c>
      <c r="N36" s="115" t="s">
        <v>383</v>
      </c>
      <c r="O36" s="116" t="s">
        <v>17</v>
      </c>
    </row>
    <row r="37" spans="1:15" ht="17.399999999999999">
      <c r="A37" s="213"/>
      <c r="B37" s="216"/>
      <c r="C37" s="151" t="s">
        <v>587</v>
      </c>
      <c r="D37" s="139" t="s">
        <v>446</v>
      </c>
      <c r="E37" s="117">
        <v>4</v>
      </c>
      <c r="F37" s="117">
        <v>4</v>
      </c>
      <c r="G37" s="117"/>
      <c r="H37" s="117"/>
      <c r="I37" s="124">
        <v>4</v>
      </c>
      <c r="J37" s="117"/>
      <c r="K37" s="117"/>
      <c r="L37" s="117"/>
      <c r="M37" s="114" t="s">
        <v>382</v>
      </c>
      <c r="N37" s="115" t="s">
        <v>383</v>
      </c>
      <c r="O37" s="116" t="s">
        <v>17</v>
      </c>
    </row>
    <row r="38" spans="1:15" ht="17.399999999999999">
      <c r="A38" s="213"/>
      <c r="B38" s="216"/>
      <c r="C38" s="151" t="s">
        <v>617</v>
      </c>
      <c r="D38" s="138" t="s">
        <v>447</v>
      </c>
      <c r="E38" s="117">
        <v>4</v>
      </c>
      <c r="F38" s="117">
        <v>4</v>
      </c>
      <c r="G38" s="117"/>
      <c r="H38" s="117"/>
      <c r="I38" s="124"/>
      <c r="J38" s="117"/>
      <c r="K38" s="117"/>
      <c r="L38" s="117"/>
      <c r="M38" s="114" t="s">
        <v>382</v>
      </c>
      <c r="N38" s="115" t="s">
        <v>383</v>
      </c>
      <c r="O38" s="116" t="s">
        <v>47</v>
      </c>
    </row>
    <row r="39" spans="1:15" ht="17.399999999999999">
      <c r="A39" s="213"/>
      <c r="B39" s="217"/>
      <c r="C39" s="141" t="s">
        <v>587</v>
      </c>
      <c r="D39" s="138" t="s">
        <v>448</v>
      </c>
      <c r="E39" s="117">
        <v>4</v>
      </c>
      <c r="F39" s="117">
        <v>4</v>
      </c>
      <c r="G39" s="117"/>
      <c r="H39" s="117"/>
      <c r="I39" s="124"/>
      <c r="J39" s="117"/>
      <c r="K39" s="117"/>
      <c r="L39" s="117"/>
      <c r="M39" s="115" t="s">
        <v>382</v>
      </c>
      <c r="N39" s="114" t="s">
        <v>383</v>
      </c>
      <c r="O39" s="116" t="s">
        <v>17</v>
      </c>
    </row>
    <row r="40" spans="1:15" ht="17.399999999999999">
      <c r="A40" s="213"/>
      <c r="B40" s="215" t="s">
        <v>56</v>
      </c>
      <c r="C40" s="152" t="s">
        <v>567</v>
      </c>
      <c r="D40" s="138" t="s">
        <v>450</v>
      </c>
      <c r="E40" s="117">
        <v>4</v>
      </c>
      <c r="F40" s="117">
        <v>4</v>
      </c>
      <c r="G40" s="117"/>
      <c r="H40" s="117"/>
      <c r="I40" s="124"/>
      <c r="J40" s="117"/>
      <c r="K40" s="117"/>
      <c r="L40" s="117"/>
      <c r="M40" s="114" t="s">
        <v>382</v>
      </c>
      <c r="N40" s="115" t="s">
        <v>383</v>
      </c>
      <c r="O40" s="116" t="s">
        <v>17</v>
      </c>
    </row>
    <row r="41" spans="1:15" ht="17.399999999999999">
      <c r="A41" s="213"/>
      <c r="B41" s="236"/>
      <c r="C41" s="153" t="s">
        <v>567</v>
      </c>
      <c r="D41" s="138" t="s">
        <v>451</v>
      </c>
      <c r="E41" s="117">
        <v>4</v>
      </c>
      <c r="F41" s="117">
        <v>4</v>
      </c>
      <c r="G41" s="117"/>
      <c r="H41" s="117"/>
      <c r="I41" s="124"/>
      <c r="J41" s="117"/>
      <c r="K41" s="117"/>
      <c r="L41" s="117"/>
      <c r="M41" s="115" t="s">
        <v>382</v>
      </c>
      <c r="N41" s="114" t="s">
        <v>383</v>
      </c>
      <c r="O41" s="116" t="s">
        <v>17</v>
      </c>
    </row>
    <row r="42" spans="1:15" ht="17.399999999999999">
      <c r="A42" s="213"/>
      <c r="B42" s="236"/>
      <c r="C42" s="153" t="s">
        <v>567</v>
      </c>
      <c r="D42" s="117" t="s">
        <v>452</v>
      </c>
      <c r="E42" s="117">
        <v>4</v>
      </c>
      <c r="F42" s="117">
        <v>4</v>
      </c>
      <c r="G42" s="117"/>
      <c r="H42" s="117"/>
      <c r="I42" s="124"/>
      <c r="J42" s="117"/>
      <c r="K42" s="117"/>
      <c r="L42" s="117"/>
      <c r="M42" s="115" t="s">
        <v>382</v>
      </c>
      <c r="N42" s="114" t="s">
        <v>383</v>
      </c>
      <c r="O42" s="116" t="s">
        <v>17</v>
      </c>
    </row>
    <row r="43" spans="1:15" ht="17.399999999999999">
      <c r="A43" s="214"/>
      <c r="B43" s="237"/>
      <c r="C43" s="154" t="s">
        <v>567</v>
      </c>
      <c r="D43" s="138" t="s">
        <v>453</v>
      </c>
      <c r="E43" s="117">
        <v>4</v>
      </c>
      <c r="F43" s="117">
        <v>4</v>
      </c>
      <c r="G43" s="117"/>
      <c r="H43" s="117"/>
      <c r="I43" s="114"/>
      <c r="J43" s="117"/>
      <c r="K43" s="117"/>
      <c r="L43" s="117"/>
      <c r="M43" s="114" t="s">
        <v>382</v>
      </c>
      <c r="N43" s="115" t="s">
        <v>383</v>
      </c>
      <c r="O43" s="116" t="s">
        <v>17</v>
      </c>
    </row>
    <row r="44" spans="1:15">
      <c r="A44" s="207" t="s">
        <v>568</v>
      </c>
      <c r="B44" s="145" t="s">
        <v>613</v>
      </c>
      <c r="C44" s="144" t="s">
        <v>614</v>
      </c>
      <c r="D44" s="145" t="s">
        <v>615</v>
      </c>
      <c r="E44" s="117">
        <v>4</v>
      </c>
      <c r="F44" s="117">
        <v>4</v>
      </c>
      <c r="G44" s="145"/>
      <c r="H44" s="145"/>
      <c r="I44" s="144"/>
      <c r="J44" s="155">
        <v>4</v>
      </c>
      <c r="K44" s="146"/>
      <c r="L44" s="147"/>
      <c r="M44" s="144" t="s">
        <v>383</v>
      </c>
      <c r="N44" s="148" t="s">
        <v>382</v>
      </c>
      <c r="O44" s="149" t="s">
        <v>17</v>
      </c>
    </row>
    <row r="45" spans="1:15" ht="17.399999999999999">
      <c r="A45" s="208"/>
      <c r="B45" s="218" t="s">
        <v>616</v>
      </c>
      <c r="C45" s="144" t="s">
        <v>619</v>
      </c>
      <c r="D45" s="139" t="s">
        <v>455</v>
      </c>
      <c r="E45" s="117">
        <v>4</v>
      </c>
      <c r="F45" s="117">
        <v>4</v>
      </c>
      <c r="G45" s="145"/>
      <c r="H45" s="145"/>
      <c r="I45" s="144"/>
      <c r="J45" s="143">
        <v>4</v>
      </c>
      <c r="K45" s="146"/>
      <c r="L45" s="147"/>
      <c r="M45" s="144" t="s">
        <v>383</v>
      </c>
      <c r="N45" s="148" t="s">
        <v>382</v>
      </c>
      <c r="O45" s="149" t="s">
        <v>17</v>
      </c>
    </row>
    <row r="46" spans="1:15" ht="17.399999999999999">
      <c r="A46" s="208"/>
      <c r="B46" s="218"/>
      <c r="C46" s="144" t="s">
        <v>614</v>
      </c>
      <c r="D46" s="139" t="s">
        <v>456</v>
      </c>
      <c r="E46" s="117">
        <v>4</v>
      </c>
      <c r="F46" s="117">
        <v>4</v>
      </c>
      <c r="G46" s="145"/>
      <c r="H46" s="145"/>
      <c r="I46" s="144"/>
      <c r="J46" s="143">
        <v>4</v>
      </c>
      <c r="K46" s="146"/>
      <c r="L46" s="147"/>
      <c r="M46" s="144" t="s">
        <v>383</v>
      </c>
      <c r="N46" s="148" t="s">
        <v>382</v>
      </c>
      <c r="O46" s="149" t="s">
        <v>17</v>
      </c>
    </row>
    <row r="47" spans="1:15" ht="17.399999999999999">
      <c r="A47" s="208"/>
      <c r="B47" s="218"/>
      <c r="C47" s="144" t="s">
        <v>619</v>
      </c>
      <c r="D47" s="139" t="s">
        <v>457</v>
      </c>
      <c r="E47" s="117">
        <v>4</v>
      </c>
      <c r="F47" s="117">
        <v>4</v>
      </c>
      <c r="G47" s="145"/>
      <c r="H47" s="145"/>
      <c r="I47" s="144"/>
      <c r="J47" s="143"/>
      <c r="K47" s="146"/>
      <c r="L47" s="147"/>
      <c r="M47" s="144" t="s">
        <v>383</v>
      </c>
      <c r="N47" s="148" t="s">
        <v>382</v>
      </c>
      <c r="O47" s="149" t="s">
        <v>17</v>
      </c>
    </row>
    <row r="48" spans="1:15" ht="17.399999999999999">
      <c r="A48" s="208"/>
      <c r="B48" s="218"/>
      <c r="C48" s="144" t="s">
        <v>620</v>
      </c>
      <c r="D48" s="139" t="s">
        <v>618</v>
      </c>
      <c r="E48" s="117">
        <v>4</v>
      </c>
      <c r="F48" s="117">
        <v>4</v>
      </c>
      <c r="G48" s="145"/>
      <c r="H48" s="145"/>
      <c r="I48" s="144"/>
      <c r="J48" s="143"/>
      <c r="K48" s="146"/>
      <c r="L48" s="147"/>
      <c r="M48" s="144" t="s">
        <v>383</v>
      </c>
      <c r="N48" s="148" t="s">
        <v>382</v>
      </c>
      <c r="O48" s="149" t="s">
        <v>47</v>
      </c>
    </row>
    <row r="49" spans="1:15" ht="17.399999999999999">
      <c r="A49" s="208"/>
      <c r="B49" s="218"/>
      <c r="C49" s="144" t="s">
        <v>619</v>
      </c>
      <c r="D49" s="139" t="s">
        <v>459</v>
      </c>
      <c r="E49" s="117">
        <v>4</v>
      </c>
      <c r="F49" s="117">
        <v>4</v>
      </c>
      <c r="G49" s="145"/>
      <c r="H49" s="145"/>
      <c r="I49" s="144"/>
      <c r="J49" s="143"/>
      <c r="K49" s="146"/>
      <c r="L49" s="147"/>
      <c r="M49" s="144" t="s">
        <v>383</v>
      </c>
      <c r="N49" s="148" t="s">
        <v>382</v>
      </c>
      <c r="O49" s="149" t="s">
        <v>17</v>
      </c>
    </row>
    <row r="50" spans="1:15" ht="17.399999999999999">
      <c r="A50" s="208"/>
      <c r="B50" s="219" t="s">
        <v>56</v>
      </c>
      <c r="C50" s="144" t="s">
        <v>614</v>
      </c>
      <c r="D50" s="139" t="s">
        <v>460</v>
      </c>
      <c r="E50" s="117">
        <v>4</v>
      </c>
      <c r="F50" s="117">
        <v>4</v>
      </c>
      <c r="G50" s="145"/>
      <c r="H50" s="145"/>
      <c r="I50" s="144"/>
      <c r="J50" s="143"/>
      <c r="K50" s="146"/>
      <c r="L50" s="147"/>
      <c r="M50" s="144" t="s">
        <v>383</v>
      </c>
      <c r="N50" s="148" t="s">
        <v>382</v>
      </c>
      <c r="O50" s="149" t="s">
        <v>17</v>
      </c>
    </row>
    <row r="51" spans="1:15" ht="17.399999999999999">
      <c r="A51" s="208"/>
      <c r="B51" s="219"/>
      <c r="C51" s="144" t="s">
        <v>614</v>
      </c>
      <c r="D51" s="139" t="s">
        <v>461</v>
      </c>
      <c r="E51" s="117">
        <v>4</v>
      </c>
      <c r="F51" s="117">
        <v>4</v>
      </c>
      <c r="G51" s="145"/>
      <c r="H51" s="145"/>
      <c r="I51" s="144"/>
      <c r="J51" s="143"/>
      <c r="K51" s="146"/>
      <c r="L51" s="147"/>
      <c r="M51" s="144" t="s">
        <v>383</v>
      </c>
      <c r="N51" s="148" t="s">
        <v>382</v>
      </c>
      <c r="O51" s="149" t="s">
        <v>17</v>
      </c>
    </row>
    <row r="52" spans="1:15" ht="17.399999999999999">
      <c r="A52" s="208"/>
      <c r="B52" s="219"/>
      <c r="C52" s="144" t="s">
        <v>614</v>
      </c>
      <c r="D52" s="139" t="s">
        <v>462</v>
      </c>
      <c r="E52" s="117">
        <v>4</v>
      </c>
      <c r="F52" s="117">
        <v>4</v>
      </c>
      <c r="G52" s="145"/>
      <c r="H52" s="145"/>
      <c r="I52" s="144"/>
      <c r="J52" s="143"/>
      <c r="K52" s="146"/>
      <c r="L52" s="147"/>
      <c r="M52" s="144" t="s">
        <v>383</v>
      </c>
      <c r="N52" s="148" t="s">
        <v>382</v>
      </c>
      <c r="O52" s="149" t="s">
        <v>17</v>
      </c>
    </row>
    <row r="53" spans="1:15" ht="17.399999999999999">
      <c r="A53" s="209"/>
      <c r="B53" s="219"/>
      <c r="C53" s="144" t="s">
        <v>614</v>
      </c>
      <c r="D53" s="139" t="s">
        <v>463</v>
      </c>
      <c r="E53" s="117">
        <v>4</v>
      </c>
      <c r="F53" s="117">
        <v>4</v>
      </c>
      <c r="G53" s="145"/>
      <c r="H53" s="145"/>
      <c r="I53" s="144"/>
      <c r="J53" s="144"/>
      <c r="K53" s="146"/>
      <c r="L53" s="174"/>
      <c r="M53" s="175" t="s">
        <v>383</v>
      </c>
      <c r="N53" s="176" t="s">
        <v>382</v>
      </c>
      <c r="O53" s="149" t="s">
        <v>17</v>
      </c>
    </row>
    <row r="54" spans="1:15" ht="17.399999999999999">
      <c r="A54" s="207" t="s">
        <v>569</v>
      </c>
      <c r="B54" s="210" t="s">
        <v>334</v>
      </c>
      <c r="C54" s="141" t="s">
        <v>567</v>
      </c>
      <c r="D54" s="139" t="s">
        <v>465</v>
      </c>
      <c r="E54" s="117">
        <v>4</v>
      </c>
      <c r="F54" s="117">
        <v>3</v>
      </c>
      <c r="G54" s="145"/>
      <c r="H54" s="145"/>
      <c r="I54" s="155">
        <v>3</v>
      </c>
      <c r="J54" s="144"/>
      <c r="K54" s="146"/>
      <c r="L54" s="174"/>
      <c r="M54" s="175" t="s">
        <v>382</v>
      </c>
      <c r="N54" s="176" t="s">
        <v>383</v>
      </c>
      <c r="O54" s="149" t="s">
        <v>17</v>
      </c>
    </row>
    <row r="55" spans="1:15" ht="17.399999999999999">
      <c r="A55" s="208"/>
      <c r="B55" s="211"/>
      <c r="C55" s="141" t="s">
        <v>567</v>
      </c>
      <c r="D55" s="139" t="s">
        <v>466</v>
      </c>
      <c r="E55" s="117">
        <v>4</v>
      </c>
      <c r="F55" s="117">
        <v>3</v>
      </c>
      <c r="G55" s="145"/>
      <c r="H55" s="145"/>
      <c r="I55" s="144"/>
      <c r="J55" s="144"/>
      <c r="K55" s="146"/>
      <c r="L55" s="174"/>
      <c r="M55" s="175" t="s">
        <v>382</v>
      </c>
      <c r="N55" s="176" t="s">
        <v>383</v>
      </c>
      <c r="O55" s="149" t="s">
        <v>17</v>
      </c>
    </row>
    <row r="56" spans="1:15" ht="14.4" customHeight="1">
      <c r="A56" s="208"/>
      <c r="B56" s="215" t="s">
        <v>570</v>
      </c>
      <c r="C56" s="117" t="s">
        <v>19</v>
      </c>
      <c r="D56" s="117" t="s">
        <v>571</v>
      </c>
      <c r="E56" s="117">
        <v>5</v>
      </c>
      <c r="F56" s="117">
        <v>6</v>
      </c>
      <c r="G56" s="117"/>
      <c r="H56" s="117"/>
      <c r="I56" s="117"/>
      <c r="J56" s="117"/>
      <c r="K56" s="127">
        <v>3</v>
      </c>
      <c r="L56" s="177">
        <v>3</v>
      </c>
      <c r="M56" s="178" t="s">
        <v>382</v>
      </c>
      <c r="N56" s="178" t="s">
        <v>382</v>
      </c>
      <c r="O56" s="116" t="s">
        <v>17</v>
      </c>
    </row>
    <row r="57" spans="1:15">
      <c r="A57" s="208"/>
      <c r="B57" s="216"/>
      <c r="C57" s="117" t="s">
        <v>19</v>
      </c>
      <c r="D57" s="117" t="s">
        <v>572</v>
      </c>
      <c r="E57" s="117">
        <v>5</v>
      </c>
      <c r="F57" s="117">
        <v>6</v>
      </c>
      <c r="G57" s="117"/>
      <c r="H57" s="117"/>
      <c r="I57" s="117"/>
      <c r="J57" s="117"/>
      <c r="K57" s="129">
        <v>3</v>
      </c>
      <c r="L57" s="179">
        <v>3</v>
      </c>
      <c r="M57" s="178" t="s">
        <v>382</v>
      </c>
      <c r="N57" s="178" t="s">
        <v>382</v>
      </c>
      <c r="O57" s="116" t="s">
        <v>17</v>
      </c>
    </row>
    <row r="58" spans="1:15">
      <c r="A58" s="208"/>
      <c r="B58" s="217"/>
      <c r="C58" s="117" t="s">
        <v>37</v>
      </c>
      <c r="D58" s="117" t="s">
        <v>573</v>
      </c>
      <c r="E58" s="117">
        <v>5</v>
      </c>
      <c r="F58" s="117">
        <v>6</v>
      </c>
      <c r="G58" s="117"/>
      <c r="H58" s="117"/>
      <c r="I58" s="117"/>
      <c r="J58" s="117"/>
      <c r="K58" s="129">
        <v>3</v>
      </c>
      <c r="L58" s="179">
        <v>3</v>
      </c>
      <c r="M58" s="178" t="s">
        <v>383</v>
      </c>
      <c r="N58" s="178" t="s">
        <v>383</v>
      </c>
      <c r="O58" s="116" t="s">
        <v>376</v>
      </c>
    </row>
    <row r="59" spans="1:15">
      <c r="A59" s="208"/>
      <c r="B59" s="215" t="s">
        <v>574</v>
      </c>
      <c r="C59" s="117" t="s">
        <v>19</v>
      </c>
      <c r="D59" s="117" t="s">
        <v>575</v>
      </c>
      <c r="E59" s="117">
        <v>5</v>
      </c>
      <c r="F59" s="117">
        <v>6</v>
      </c>
      <c r="G59" s="117"/>
      <c r="H59" s="117"/>
      <c r="I59" s="117"/>
      <c r="J59" s="117"/>
      <c r="K59" s="129">
        <v>3</v>
      </c>
      <c r="L59" s="179">
        <v>3</v>
      </c>
      <c r="M59" s="178" t="s">
        <v>382</v>
      </c>
      <c r="N59" s="178" t="s">
        <v>382</v>
      </c>
      <c r="O59" s="116" t="s">
        <v>17</v>
      </c>
    </row>
    <row r="60" spans="1:15" ht="16.5" customHeight="1">
      <c r="A60" s="208"/>
      <c r="B60" s="216"/>
      <c r="C60" s="117" t="s">
        <v>37</v>
      </c>
      <c r="D60" s="117" t="s">
        <v>576</v>
      </c>
      <c r="E60" s="117">
        <v>5</v>
      </c>
      <c r="F60" s="117">
        <v>6</v>
      </c>
      <c r="G60" s="117"/>
      <c r="H60" s="117"/>
      <c r="I60" s="117"/>
      <c r="J60" s="117"/>
      <c r="K60" s="129"/>
      <c r="L60" s="125"/>
      <c r="M60" s="114" t="s">
        <v>382</v>
      </c>
      <c r="N60" s="114" t="s">
        <v>382</v>
      </c>
      <c r="O60" s="116" t="s">
        <v>376</v>
      </c>
    </row>
    <row r="61" spans="1:15">
      <c r="A61" s="208"/>
      <c r="B61" s="217"/>
      <c r="C61" s="117" t="s">
        <v>37</v>
      </c>
      <c r="D61" s="117" t="s">
        <v>577</v>
      </c>
      <c r="E61" s="117">
        <v>5</v>
      </c>
      <c r="F61" s="117">
        <v>6</v>
      </c>
      <c r="G61" s="117"/>
      <c r="H61" s="117"/>
      <c r="I61" s="117"/>
      <c r="J61" s="117"/>
      <c r="K61" s="129"/>
      <c r="L61" s="125"/>
      <c r="M61" s="114" t="s">
        <v>382</v>
      </c>
      <c r="N61" s="114" t="s">
        <v>382</v>
      </c>
      <c r="O61" s="116" t="s">
        <v>376</v>
      </c>
    </row>
    <row r="62" spans="1:15">
      <c r="A62" s="208"/>
      <c r="B62" s="215" t="s">
        <v>312</v>
      </c>
      <c r="C62" s="117" t="s">
        <v>19</v>
      </c>
      <c r="D62" s="117" t="s">
        <v>578</v>
      </c>
      <c r="E62" s="117">
        <v>5</v>
      </c>
      <c r="F62" s="117">
        <v>6</v>
      </c>
      <c r="G62" s="117"/>
      <c r="H62" s="117"/>
      <c r="I62" s="117"/>
      <c r="J62" s="117"/>
      <c r="K62" s="129"/>
      <c r="L62" s="125"/>
      <c r="M62" s="114" t="s">
        <v>382</v>
      </c>
      <c r="N62" s="114" t="s">
        <v>382</v>
      </c>
      <c r="O62" s="116" t="s">
        <v>17</v>
      </c>
    </row>
    <row r="63" spans="1:15">
      <c r="A63" s="208"/>
      <c r="B63" s="216"/>
      <c r="C63" s="117" t="s">
        <v>19</v>
      </c>
      <c r="D63" s="117" t="s">
        <v>579</v>
      </c>
      <c r="E63" s="117">
        <v>5</v>
      </c>
      <c r="F63" s="117">
        <v>6</v>
      </c>
      <c r="G63" s="117"/>
      <c r="H63" s="117"/>
      <c r="I63" s="117"/>
      <c r="J63" s="117"/>
      <c r="K63" s="129"/>
      <c r="L63" s="125"/>
      <c r="M63" s="114" t="s">
        <v>382</v>
      </c>
      <c r="N63" s="114" t="s">
        <v>382</v>
      </c>
      <c r="O63" s="116" t="s">
        <v>17</v>
      </c>
    </row>
    <row r="64" spans="1:15">
      <c r="A64" s="209"/>
      <c r="B64" s="217"/>
      <c r="C64" s="117" t="s">
        <v>37</v>
      </c>
      <c r="D64" s="117" t="s">
        <v>580</v>
      </c>
      <c r="E64" s="117">
        <v>5</v>
      </c>
      <c r="F64" s="117">
        <v>6</v>
      </c>
      <c r="G64" s="117"/>
      <c r="H64" s="117"/>
      <c r="I64" s="117"/>
      <c r="J64" s="117"/>
      <c r="K64" s="115"/>
      <c r="L64" s="126"/>
      <c r="M64" s="114" t="s">
        <v>382</v>
      </c>
      <c r="N64" s="114" t="s">
        <v>382</v>
      </c>
      <c r="O64" s="116" t="s">
        <v>376</v>
      </c>
    </row>
    <row r="65" spans="1:15" ht="17.399999999999999">
      <c r="A65" s="212" t="s">
        <v>581</v>
      </c>
      <c r="B65" s="210" t="s">
        <v>334</v>
      </c>
      <c r="C65" s="140" t="s">
        <v>37</v>
      </c>
      <c r="D65" s="139" t="s">
        <v>467</v>
      </c>
      <c r="E65" s="117">
        <v>4</v>
      </c>
      <c r="F65" s="117">
        <v>3</v>
      </c>
      <c r="G65" s="117"/>
      <c r="H65" s="117"/>
      <c r="I65" s="117"/>
      <c r="J65" s="140">
        <v>3</v>
      </c>
      <c r="K65" s="117"/>
      <c r="L65" s="117"/>
      <c r="M65" s="115" t="s">
        <v>383</v>
      </c>
      <c r="N65" s="115" t="s">
        <v>382</v>
      </c>
      <c r="O65" s="116" t="s">
        <v>17</v>
      </c>
    </row>
    <row r="66" spans="1:15" ht="17.399999999999999" customHeight="1">
      <c r="A66" s="213"/>
      <c r="B66" s="211"/>
      <c r="C66" s="140" t="s">
        <v>37</v>
      </c>
      <c r="D66" s="139" t="s">
        <v>468</v>
      </c>
      <c r="E66" s="117">
        <v>4</v>
      </c>
      <c r="F66" s="117">
        <v>3</v>
      </c>
      <c r="G66" s="117"/>
      <c r="H66" s="117"/>
      <c r="I66" s="117"/>
      <c r="J66" s="114"/>
      <c r="K66" s="117"/>
      <c r="L66" s="117"/>
      <c r="M66" s="115" t="s">
        <v>383</v>
      </c>
      <c r="N66" s="115" t="s">
        <v>382</v>
      </c>
      <c r="O66" s="116" t="s">
        <v>17</v>
      </c>
    </row>
    <row r="67" spans="1:15" ht="14.4" customHeight="1">
      <c r="A67" s="213"/>
      <c r="B67" s="215" t="s">
        <v>57</v>
      </c>
      <c r="C67" s="215" t="s">
        <v>567</v>
      </c>
      <c r="D67" s="117" t="s">
        <v>582</v>
      </c>
      <c r="E67" s="117">
        <v>5</v>
      </c>
      <c r="F67" s="117">
        <v>6</v>
      </c>
      <c r="G67" s="117"/>
      <c r="H67" s="117"/>
      <c r="I67" s="117"/>
      <c r="J67" s="117"/>
      <c r="K67" s="127">
        <v>3</v>
      </c>
      <c r="L67" s="128">
        <v>3</v>
      </c>
      <c r="M67" s="115" t="s">
        <v>383</v>
      </c>
      <c r="N67" s="115" t="s">
        <v>383</v>
      </c>
      <c r="O67" s="116" t="s">
        <v>17</v>
      </c>
    </row>
    <row r="68" spans="1:15">
      <c r="A68" s="213"/>
      <c r="B68" s="216"/>
      <c r="C68" s="216"/>
      <c r="D68" s="117" t="s">
        <v>583</v>
      </c>
      <c r="E68" s="117">
        <v>5</v>
      </c>
      <c r="F68" s="117">
        <v>6</v>
      </c>
      <c r="G68" s="117"/>
      <c r="H68" s="117"/>
      <c r="I68" s="117"/>
      <c r="J68" s="117"/>
      <c r="K68" s="129">
        <v>3</v>
      </c>
      <c r="L68" s="125">
        <v>3</v>
      </c>
      <c r="M68" s="114" t="s">
        <v>382</v>
      </c>
      <c r="N68" s="114" t="s">
        <v>382</v>
      </c>
      <c r="O68" s="116" t="s">
        <v>17</v>
      </c>
    </row>
    <row r="69" spans="1:15">
      <c r="A69" s="213"/>
      <c r="B69" s="216"/>
      <c r="C69" s="216"/>
      <c r="D69" s="117" t="s">
        <v>584</v>
      </c>
      <c r="E69" s="117">
        <v>5</v>
      </c>
      <c r="F69" s="117">
        <v>6</v>
      </c>
      <c r="G69" s="117"/>
      <c r="H69" s="117"/>
      <c r="I69" s="117"/>
      <c r="J69" s="117"/>
      <c r="K69" s="129">
        <v>3</v>
      </c>
      <c r="L69" s="125">
        <v>3</v>
      </c>
      <c r="M69" s="115" t="s">
        <v>382</v>
      </c>
      <c r="N69" s="115" t="s">
        <v>382</v>
      </c>
      <c r="O69" s="116" t="s">
        <v>17</v>
      </c>
    </row>
    <row r="70" spans="1:15">
      <c r="A70" s="213"/>
      <c r="B70" s="216"/>
      <c r="C70" s="216"/>
      <c r="D70" s="117" t="s">
        <v>585</v>
      </c>
      <c r="E70" s="117">
        <v>5</v>
      </c>
      <c r="F70" s="117">
        <v>6</v>
      </c>
      <c r="G70" s="117"/>
      <c r="H70" s="117"/>
      <c r="I70" s="117"/>
      <c r="J70" s="117"/>
      <c r="K70" s="129"/>
      <c r="L70" s="125"/>
      <c r="M70" s="114" t="s">
        <v>382</v>
      </c>
      <c r="N70" s="114" t="s">
        <v>382</v>
      </c>
      <c r="O70" s="116" t="s">
        <v>17</v>
      </c>
    </row>
    <row r="71" spans="1:15">
      <c r="A71" s="213"/>
      <c r="B71" s="217"/>
      <c r="C71" s="217"/>
      <c r="D71" s="117" t="s">
        <v>586</v>
      </c>
      <c r="E71" s="117">
        <v>5</v>
      </c>
      <c r="F71" s="117">
        <v>6</v>
      </c>
      <c r="G71" s="117"/>
      <c r="H71" s="117"/>
      <c r="I71" s="117"/>
      <c r="J71" s="117"/>
      <c r="K71" s="129"/>
      <c r="L71" s="125"/>
      <c r="M71" s="114" t="s">
        <v>382</v>
      </c>
      <c r="N71" s="114" t="s">
        <v>382</v>
      </c>
      <c r="O71" s="116" t="s">
        <v>17</v>
      </c>
    </row>
    <row r="72" spans="1:15">
      <c r="A72" s="213"/>
      <c r="B72" s="215" t="s">
        <v>56</v>
      </c>
      <c r="C72" s="215" t="s">
        <v>587</v>
      </c>
      <c r="D72" s="117" t="s">
        <v>588</v>
      </c>
      <c r="E72" s="117">
        <v>5</v>
      </c>
      <c r="F72" s="117">
        <v>6</v>
      </c>
      <c r="G72" s="117"/>
      <c r="H72" s="117"/>
      <c r="I72" s="117"/>
      <c r="J72" s="117"/>
      <c r="K72" s="129"/>
      <c r="L72" s="125"/>
      <c r="M72" s="114" t="s">
        <v>382</v>
      </c>
      <c r="N72" s="114" t="s">
        <v>382</v>
      </c>
      <c r="O72" s="116" t="s">
        <v>376</v>
      </c>
    </row>
    <row r="73" spans="1:15">
      <c r="A73" s="213"/>
      <c r="B73" s="216"/>
      <c r="C73" s="216"/>
      <c r="D73" s="117" t="s">
        <v>589</v>
      </c>
      <c r="E73" s="117">
        <v>5</v>
      </c>
      <c r="F73" s="117">
        <v>6</v>
      </c>
      <c r="G73" s="117"/>
      <c r="H73" s="117"/>
      <c r="I73" s="117"/>
      <c r="J73" s="117"/>
      <c r="K73" s="129"/>
      <c r="L73" s="125"/>
      <c r="M73" s="114" t="s">
        <v>382</v>
      </c>
      <c r="N73" s="114" t="s">
        <v>382</v>
      </c>
      <c r="O73" s="116" t="s">
        <v>376</v>
      </c>
    </row>
    <row r="74" spans="1:15">
      <c r="A74" s="213"/>
      <c r="B74" s="216"/>
      <c r="C74" s="216"/>
      <c r="D74" s="117" t="s">
        <v>590</v>
      </c>
      <c r="E74" s="117">
        <v>5</v>
      </c>
      <c r="F74" s="117">
        <v>6</v>
      </c>
      <c r="G74" s="117"/>
      <c r="H74" s="117"/>
      <c r="I74" s="117"/>
      <c r="J74" s="117"/>
      <c r="K74" s="129"/>
      <c r="L74" s="125"/>
      <c r="M74" s="114" t="s">
        <v>382</v>
      </c>
      <c r="N74" s="114" t="s">
        <v>382</v>
      </c>
      <c r="O74" s="116" t="s">
        <v>376</v>
      </c>
    </row>
    <row r="75" spans="1:15">
      <c r="A75" s="214"/>
      <c r="B75" s="217"/>
      <c r="C75" s="217"/>
      <c r="D75" s="117" t="s">
        <v>591</v>
      </c>
      <c r="E75" s="117">
        <v>5</v>
      </c>
      <c r="F75" s="117">
        <v>6</v>
      </c>
      <c r="G75" s="117"/>
      <c r="H75" s="117"/>
      <c r="I75" s="117"/>
      <c r="J75" s="117"/>
      <c r="K75" s="115"/>
      <c r="L75" s="126"/>
      <c r="M75" s="114" t="s">
        <v>382</v>
      </c>
      <c r="N75" s="114" t="s">
        <v>382</v>
      </c>
      <c r="O75" s="116" t="s">
        <v>376</v>
      </c>
    </row>
    <row r="76" spans="1:15" ht="15" customHeight="1">
      <c r="A76" s="207" t="s">
        <v>592</v>
      </c>
      <c r="B76" s="215" t="s">
        <v>57</v>
      </c>
      <c r="C76" s="215" t="s">
        <v>587</v>
      </c>
      <c r="D76" s="117" t="s">
        <v>593</v>
      </c>
      <c r="E76" s="117">
        <v>5</v>
      </c>
      <c r="F76" s="117">
        <v>4</v>
      </c>
      <c r="G76" s="117"/>
      <c r="H76" s="117"/>
      <c r="I76" s="117"/>
      <c r="J76" s="117"/>
      <c r="K76" s="127">
        <v>2</v>
      </c>
      <c r="L76" s="128">
        <v>2</v>
      </c>
      <c r="M76" s="114" t="s">
        <v>382</v>
      </c>
      <c r="N76" s="114" t="s">
        <v>382</v>
      </c>
      <c r="O76" s="116" t="s">
        <v>376</v>
      </c>
    </row>
    <row r="77" spans="1:15" ht="15" customHeight="1">
      <c r="A77" s="208"/>
      <c r="B77" s="217"/>
      <c r="C77" s="217"/>
      <c r="D77" s="117" t="s">
        <v>594</v>
      </c>
      <c r="E77" s="117">
        <v>5</v>
      </c>
      <c r="F77" s="117">
        <v>4</v>
      </c>
      <c r="G77" s="117"/>
      <c r="H77" s="117"/>
      <c r="I77" s="117"/>
      <c r="J77" s="117"/>
      <c r="K77" s="129"/>
      <c r="L77" s="125"/>
      <c r="M77" s="115" t="s">
        <v>383</v>
      </c>
      <c r="N77" s="115" t="s">
        <v>383</v>
      </c>
      <c r="O77" s="116" t="s">
        <v>376</v>
      </c>
    </row>
    <row r="78" spans="1:15" ht="16.5" customHeight="1">
      <c r="A78" s="208"/>
      <c r="B78" s="215" t="s">
        <v>56</v>
      </c>
      <c r="C78" s="215" t="s">
        <v>587</v>
      </c>
      <c r="D78" s="117" t="s">
        <v>595</v>
      </c>
      <c r="E78" s="117">
        <v>5</v>
      </c>
      <c r="F78" s="117">
        <v>4</v>
      </c>
      <c r="G78" s="117"/>
      <c r="H78" s="117"/>
      <c r="I78" s="117"/>
      <c r="J78" s="117"/>
      <c r="K78" s="129"/>
      <c r="L78" s="179"/>
      <c r="M78" s="178" t="s">
        <v>382</v>
      </c>
      <c r="N78" s="178" t="s">
        <v>382</v>
      </c>
      <c r="O78" s="180" t="s">
        <v>376</v>
      </c>
    </row>
    <row r="79" spans="1:15">
      <c r="A79" s="209"/>
      <c r="B79" s="217"/>
      <c r="C79" s="217"/>
      <c r="D79" s="117" t="s">
        <v>596</v>
      </c>
      <c r="E79" s="117">
        <v>5</v>
      </c>
      <c r="F79" s="117">
        <v>4</v>
      </c>
      <c r="G79" s="117"/>
      <c r="H79" s="117"/>
      <c r="I79" s="117"/>
      <c r="J79" s="117"/>
      <c r="K79" s="115"/>
      <c r="L79" s="181"/>
      <c r="M79" s="182" t="s">
        <v>383</v>
      </c>
      <c r="N79" s="182" t="s">
        <v>383</v>
      </c>
      <c r="O79" s="180" t="s">
        <v>376</v>
      </c>
    </row>
    <row r="80" spans="1:15" ht="15" customHeight="1">
      <c r="A80" s="212" t="s">
        <v>597</v>
      </c>
      <c r="B80" s="215" t="s">
        <v>416</v>
      </c>
      <c r="C80" s="215" t="s">
        <v>567</v>
      </c>
      <c r="D80" s="118" t="s">
        <v>598</v>
      </c>
      <c r="E80" s="117">
        <v>5</v>
      </c>
      <c r="F80" s="117">
        <v>4</v>
      </c>
      <c r="G80" s="117"/>
      <c r="H80" s="117"/>
      <c r="I80" s="117"/>
      <c r="J80" s="117"/>
      <c r="K80" s="127">
        <v>2</v>
      </c>
      <c r="L80" s="177">
        <v>2</v>
      </c>
      <c r="M80" s="182" t="s">
        <v>382</v>
      </c>
      <c r="N80" s="182" t="s">
        <v>382</v>
      </c>
      <c r="O80" s="180" t="s">
        <v>50</v>
      </c>
    </row>
    <row r="81" spans="1:15">
      <c r="A81" s="213"/>
      <c r="B81" s="216"/>
      <c r="C81" s="216"/>
      <c r="D81" s="118" t="s">
        <v>487</v>
      </c>
      <c r="E81" s="117">
        <v>5</v>
      </c>
      <c r="F81" s="117">
        <v>4</v>
      </c>
      <c r="G81" s="117"/>
      <c r="H81" s="117"/>
      <c r="I81" s="117"/>
      <c r="J81" s="117"/>
      <c r="K81" s="129"/>
      <c r="L81" s="179"/>
      <c r="M81" s="178" t="s">
        <v>382</v>
      </c>
      <c r="N81" s="178" t="s">
        <v>382</v>
      </c>
      <c r="O81" s="180" t="s">
        <v>50</v>
      </c>
    </row>
    <row r="82" spans="1:15">
      <c r="A82" s="213"/>
      <c r="B82" s="216"/>
      <c r="C82" s="216"/>
      <c r="D82" s="118" t="s">
        <v>599</v>
      </c>
      <c r="E82" s="117">
        <v>5</v>
      </c>
      <c r="F82" s="117">
        <v>4</v>
      </c>
      <c r="G82" s="117"/>
      <c r="H82" s="117"/>
      <c r="I82" s="117"/>
      <c r="J82" s="117"/>
      <c r="K82" s="129"/>
      <c r="L82" s="179"/>
      <c r="M82" s="182" t="s">
        <v>383</v>
      </c>
      <c r="N82" s="182" t="s">
        <v>383</v>
      </c>
      <c r="O82" s="180" t="s">
        <v>50</v>
      </c>
    </row>
    <row r="83" spans="1:15">
      <c r="A83" s="213"/>
      <c r="B83" s="216"/>
      <c r="C83" s="216"/>
      <c r="D83" s="118" t="s">
        <v>600</v>
      </c>
      <c r="E83" s="117">
        <v>5</v>
      </c>
      <c r="F83" s="117">
        <v>4</v>
      </c>
      <c r="G83" s="117"/>
      <c r="H83" s="117"/>
      <c r="I83" s="117"/>
      <c r="J83" s="117"/>
      <c r="K83" s="129"/>
      <c r="L83" s="179"/>
      <c r="M83" s="178" t="s">
        <v>382</v>
      </c>
      <c r="N83" s="178" t="s">
        <v>382</v>
      </c>
      <c r="O83" s="180" t="s">
        <v>50</v>
      </c>
    </row>
    <row r="84" spans="1:15">
      <c r="A84" s="213"/>
      <c r="B84" s="217"/>
      <c r="C84" s="217"/>
      <c r="D84" s="118" t="s">
        <v>601</v>
      </c>
      <c r="E84" s="117">
        <v>5</v>
      </c>
      <c r="F84" s="117">
        <v>4</v>
      </c>
      <c r="G84" s="117"/>
      <c r="H84" s="117"/>
      <c r="I84" s="117"/>
      <c r="J84" s="117"/>
      <c r="K84" s="129"/>
      <c r="L84" s="179"/>
      <c r="M84" s="178" t="s">
        <v>383</v>
      </c>
      <c r="N84" s="178" t="s">
        <v>383</v>
      </c>
      <c r="O84" s="180" t="s">
        <v>50</v>
      </c>
    </row>
    <row r="85" spans="1:15">
      <c r="A85" s="213"/>
      <c r="B85" s="215" t="s">
        <v>602</v>
      </c>
      <c r="C85" s="215" t="s">
        <v>587</v>
      </c>
      <c r="D85" s="118" t="s">
        <v>603</v>
      </c>
      <c r="E85" s="117">
        <v>5</v>
      </c>
      <c r="F85" s="117">
        <v>4</v>
      </c>
      <c r="G85" s="117"/>
      <c r="H85" s="117"/>
      <c r="I85" s="117"/>
      <c r="J85" s="117"/>
      <c r="K85" s="129"/>
      <c r="L85" s="179"/>
      <c r="M85" s="178" t="s">
        <v>382</v>
      </c>
      <c r="N85" s="178" t="s">
        <v>382</v>
      </c>
      <c r="O85" s="180" t="s">
        <v>50</v>
      </c>
    </row>
    <row r="86" spans="1:15" ht="17.399999999999999">
      <c r="A86" s="214"/>
      <c r="B86" s="217"/>
      <c r="C86" s="217"/>
      <c r="D86" s="138" t="s">
        <v>611</v>
      </c>
      <c r="E86" s="117">
        <v>5</v>
      </c>
      <c r="F86" s="117">
        <v>4</v>
      </c>
      <c r="G86" s="117"/>
      <c r="H86" s="117"/>
      <c r="I86" s="117"/>
      <c r="J86" s="117"/>
      <c r="K86" s="115"/>
      <c r="L86" s="181"/>
      <c r="M86" s="178" t="s">
        <v>383</v>
      </c>
      <c r="N86" s="178" t="s">
        <v>383</v>
      </c>
      <c r="O86" s="180" t="s">
        <v>50</v>
      </c>
    </row>
    <row r="87" spans="1:15">
      <c r="A87" s="213" t="s">
        <v>604</v>
      </c>
      <c r="B87" s="117" t="s">
        <v>14</v>
      </c>
      <c r="C87" s="215" t="s">
        <v>587</v>
      </c>
      <c r="D87" s="117" t="s">
        <v>605</v>
      </c>
      <c r="E87" s="117">
        <v>5</v>
      </c>
      <c r="F87" s="117">
        <v>4</v>
      </c>
      <c r="G87" s="117"/>
      <c r="H87" s="117"/>
      <c r="I87" s="117"/>
      <c r="J87" s="117"/>
      <c r="K87" s="127">
        <v>2</v>
      </c>
      <c r="L87" s="177">
        <v>2</v>
      </c>
      <c r="M87" s="182" t="s">
        <v>382</v>
      </c>
      <c r="N87" s="182" t="s">
        <v>382</v>
      </c>
      <c r="O87" s="180" t="s">
        <v>376</v>
      </c>
    </row>
    <row r="88" spans="1:15">
      <c r="A88" s="213"/>
      <c r="B88" s="117" t="s">
        <v>20</v>
      </c>
      <c r="C88" s="216"/>
      <c r="D88" s="117" t="s">
        <v>606</v>
      </c>
      <c r="E88" s="117">
        <v>5</v>
      </c>
      <c r="F88" s="117">
        <v>4</v>
      </c>
      <c r="G88" s="117"/>
      <c r="H88" s="117"/>
      <c r="I88" s="117"/>
      <c r="J88" s="117"/>
      <c r="K88" s="129"/>
      <c r="L88" s="179"/>
      <c r="M88" s="182" t="s">
        <v>383</v>
      </c>
      <c r="N88" s="182" t="s">
        <v>383</v>
      </c>
      <c r="O88" s="180" t="s">
        <v>376</v>
      </c>
    </row>
    <row r="89" spans="1:15">
      <c r="A89" s="213"/>
      <c r="B89" s="117" t="s">
        <v>23</v>
      </c>
      <c r="C89" s="216"/>
      <c r="D89" s="117" t="s">
        <v>607</v>
      </c>
      <c r="E89" s="117">
        <v>5</v>
      </c>
      <c r="F89" s="117">
        <v>4</v>
      </c>
      <c r="G89" s="117"/>
      <c r="H89" s="117"/>
      <c r="I89" s="117"/>
      <c r="J89" s="117"/>
      <c r="K89" s="129"/>
      <c r="L89" s="179"/>
      <c r="M89" s="178" t="s">
        <v>383</v>
      </c>
      <c r="N89" s="178" t="s">
        <v>383</v>
      </c>
      <c r="O89" s="180" t="s">
        <v>376</v>
      </c>
    </row>
    <row r="90" spans="1:15">
      <c r="A90" s="213"/>
      <c r="B90" s="117" t="s">
        <v>445</v>
      </c>
      <c r="C90" s="216"/>
      <c r="D90" s="117" t="s">
        <v>608</v>
      </c>
      <c r="E90" s="117">
        <v>5</v>
      </c>
      <c r="F90" s="117">
        <v>4</v>
      </c>
      <c r="G90" s="117"/>
      <c r="H90" s="117"/>
      <c r="I90" s="117"/>
      <c r="J90" s="117"/>
      <c r="K90" s="129"/>
      <c r="L90" s="179"/>
      <c r="M90" s="178" t="s">
        <v>382</v>
      </c>
      <c r="N90" s="178" t="s">
        <v>382</v>
      </c>
      <c r="O90" s="180" t="s">
        <v>376</v>
      </c>
    </row>
    <row r="91" spans="1:15">
      <c r="A91" s="213"/>
      <c r="B91" s="117" t="s">
        <v>464</v>
      </c>
      <c r="C91" s="216"/>
      <c r="D91" s="118" t="s">
        <v>609</v>
      </c>
      <c r="E91" s="117">
        <v>5</v>
      </c>
      <c r="F91" s="117">
        <v>4</v>
      </c>
      <c r="G91" s="117"/>
      <c r="H91" s="117"/>
      <c r="I91" s="117"/>
      <c r="J91" s="117"/>
      <c r="K91" s="129"/>
      <c r="L91" s="179"/>
      <c r="M91" s="178" t="s">
        <v>382</v>
      </c>
      <c r="N91" s="178" t="s">
        <v>382</v>
      </c>
      <c r="O91" s="180" t="s">
        <v>376</v>
      </c>
    </row>
    <row r="92" spans="1:15">
      <c r="A92" s="214"/>
      <c r="B92" s="117" t="s">
        <v>464</v>
      </c>
      <c r="C92" s="217"/>
      <c r="D92" s="118" t="s">
        <v>610</v>
      </c>
      <c r="E92" s="117">
        <v>5</v>
      </c>
      <c r="F92" s="117">
        <v>4</v>
      </c>
      <c r="G92" s="117"/>
      <c r="H92" s="117"/>
      <c r="I92" s="117"/>
      <c r="J92" s="117"/>
      <c r="K92" s="115"/>
      <c r="L92" s="181"/>
      <c r="M92" s="178" t="s">
        <v>382</v>
      </c>
      <c r="N92" s="178" t="s">
        <v>382</v>
      </c>
      <c r="O92" s="180" t="s">
        <v>376</v>
      </c>
    </row>
    <row r="93" spans="1:15">
      <c r="A93" s="221" t="s">
        <v>377</v>
      </c>
      <c r="B93" s="222"/>
      <c r="C93" s="118" t="s">
        <v>587</v>
      </c>
      <c r="D93" s="118"/>
      <c r="E93" s="117"/>
      <c r="F93" s="117"/>
      <c r="G93" s="117"/>
      <c r="H93" s="117"/>
      <c r="I93" s="117"/>
      <c r="J93" s="117"/>
      <c r="K93" s="117"/>
      <c r="L93" s="117"/>
      <c r="M93" s="114"/>
      <c r="N93" s="115"/>
      <c r="O93" s="116"/>
    </row>
    <row r="94" spans="1:15" ht="15" thickBot="1">
      <c r="A94" s="223"/>
      <c r="B94" s="224"/>
      <c r="C94" s="118" t="s">
        <v>587</v>
      </c>
      <c r="D94" s="117"/>
      <c r="E94" s="117"/>
      <c r="F94" s="117"/>
      <c r="G94" s="117"/>
      <c r="H94" s="117"/>
      <c r="I94" s="117"/>
      <c r="J94" s="117"/>
      <c r="K94" s="117"/>
      <c r="L94" s="117"/>
      <c r="M94" s="114"/>
      <c r="N94" s="115"/>
      <c r="O94" s="116"/>
    </row>
    <row r="95" spans="1:15" ht="15" thickBot="1">
      <c r="A95" s="225" t="s">
        <v>52</v>
      </c>
      <c r="B95" s="225"/>
      <c r="C95" s="225"/>
      <c r="D95" s="226"/>
      <c r="E95" s="119"/>
      <c r="F95" s="119"/>
      <c r="G95" s="120">
        <f t="shared" ref="G95:L95" si="1">SUM(G35:G92)</f>
        <v>0</v>
      </c>
      <c r="H95" s="120">
        <f t="shared" si="1"/>
        <v>0</v>
      </c>
      <c r="I95" s="120">
        <f t="shared" si="1"/>
        <v>15</v>
      </c>
      <c r="J95" s="120">
        <f t="shared" si="1"/>
        <v>15</v>
      </c>
      <c r="K95" s="120">
        <f t="shared" si="1"/>
        <v>27</v>
      </c>
      <c r="L95" s="120">
        <f t="shared" si="1"/>
        <v>27</v>
      </c>
      <c r="M95" s="119"/>
      <c r="N95" s="121"/>
      <c r="O95" s="122"/>
    </row>
    <row r="96" spans="1:15">
      <c r="A96" s="227" t="s">
        <v>53</v>
      </c>
      <c r="B96" s="227"/>
      <c r="C96" s="227"/>
      <c r="D96" s="228"/>
      <c r="E96" s="130"/>
      <c r="F96" s="130"/>
      <c r="G96" s="131">
        <f t="shared" ref="G96:L96" si="2">SUM(G34,G95)</f>
        <v>29</v>
      </c>
      <c r="H96" s="131">
        <f t="shared" si="2"/>
        <v>29</v>
      </c>
      <c r="I96" s="131">
        <f t="shared" si="2"/>
        <v>30</v>
      </c>
      <c r="J96" s="131">
        <f t="shared" si="2"/>
        <v>30</v>
      </c>
      <c r="K96" s="131">
        <f t="shared" si="2"/>
        <v>29</v>
      </c>
      <c r="L96" s="131">
        <f t="shared" si="2"/>
        <v>29</v>
      </c>
      <c r="M96" s="130"/>
      <c r="N96" s="132"/>
      <c r="O96" s="133"/>
    </row>
    <row r="97" spans="1:15" ht="16.5" customHeight="1" thickBot="1">
      <c r="A97" s="229" t="s">
        <v>54</v>
      </c>
      <c r="B97" s="229"/>
      <c r="C97" s="229"/>
      <c r="D97" s="230"/>
      <c r="E97" s="134"/>
      <c r="F97" s="134"/>
      <c r="G97" s="135">
        <v>3</v>
      </c>
      <c r="H97" s="135">
        <v>3</v>
      </c>
      <c r="I97" s="135">
        <v>3</v>
      </c>
      <c r="J97" s="135">
        <v>3</v>
      </c>
      <c r="K97" s="135">
        <v>3</v>
      </c>
      <c r="L97" s="135">
        <v>3</v>
      </c>
      <c r="M97" s="134"/>
      <c r="N97" s="136"/>
      <c r="O97" s="137"/>
    </row>
    <row r="98" spans="1:15" ht="15" thickBot="1">
      <c r="A98" s="231" t="s">
        <v>55</v>
      </c>
      <c r="B98" s="231"/>
      <c r="C98" s="231"/>
      <c r="D98" s="231"/>
      <c r="E98" s="134"/>
      <c r="F98" s="134"/>
      <c r="G98" s="135">
        <f>SUM(G96:G97)</f>
        <v>32</v>
      </c>
      <c r="H98" s="135">
        <f>SUM(H96:H97)</f>
        <v>32</v>
      </c>
      <c r="I98" s="135">
        <f>SUM(I96:I97)</f>
        <v>33</v>
      </c>
      <c r="J98" s="135">
        <f>SUM(J96:J97)</f>
        <v>33</v>
      </c>
      <c r="K98" s="135">
        <f t="shared" ref="K98" si="3">SUM(K96:K97)</f>
        <v>32</v>
      </c>
      <c r="L98" s="135">
        <f>SUM(L96:L97)</f>
        <v>32</v>
      </c>
      <c r="M98" s="134"/>
      <c r="N98" s="136"/>
      <c r="O98" s="137"/>
    </row>
  </sheetData>
  <mergeCells count="67">
    <mergeCell ref="B25:B29"/>
    <mergeCell ref="A1:P1"/>
    <mergeCell ref="A2:O2"/>
    <mergeCell ref="A3:A4"/>
    <mergeCell ref="B3:B4"/>
    <mergeCell ref="C3:C4"/>
    <mergeCell ref="D3:D4"/>
    <mergeCell ref="E3:E4"/>
    <mergeCell ref="F3:F4"/>
    <mergeCell ref="G3:H3"/>
    <mergeCell ref="I3:J3"/>
    <mergeCell ref="K3:L3"/>
    <mergeCell ref="M3:N3"/>
    <mergeCell ref="O3:O4"/>
    <mergeCell ref="H32:H33"/>
    <mergeCell ref="A34:D34"/>
    <mergeCell ref="A35:A43"/>
    <mergeCell ref="B35:B39"/>
    <mergeCell ref="B40:B43"/>
    <mergeCell ref="B32:B33"/>
    <mergeCell ref="D32:D33"/>
    <mergeCell ref="E32:E33"/>
    <mergeCell ref="F32:F33"/>
    <mergeCell ref="G32:G33"/>
    <mergeCell ref="A5:A33"/>
    <mergeCell ref="B5:B8"/>
    <mergeCell ref="B9:B12"/>
    <mergeCell ref="B13:B16"/>
    <mergeCell ref="B17:B20"/>
    <mergeCell ref="B21:B24"/>
    <mergeCell ref="A95:D95"/>
    <mergeCell ref="A96:D96"/>
    <mergeCell ref="A97:D97"/>
    <mergeCell ref="A98:D98"/>
    <mergeCell ref="A80:A86"/>
    <mergeCell ref="B80:B84"/>
    <mergeCell ref="C80:C84"/>
    <mergeCell ref="B85:B86"/>
    <mergeCell ref="C85:C86"/>
    <mergeCell ref="A87:A92"/>
    <mergeCell ref="C87:C92"/>
    <mergeCell ref="E30:E31"/>
    <mergeCell ref="F30:F31"/>
    <mergeCell ref="I30:I31"/>
    <mergeCell ref="J30:J31"/>
    <mergeCell ref="A93:B94"/>
    <mergeCell ref="B67:B71"/>
    <mergeCell ref="C67:C71"/>
    <mergeCell ref="B72:B75"/>
    <mergeCell ref="C72:C75"/>
    <mergeCell ref="A76:A79"/>
    <mergeCell ref="B76:B77"/>
    <mergeCell ref="C76:C77"/>
    <mergeCell ref="B78:B79"/>
    <mergeCell ref="C78:C79"/>
    <mergeCell ref="B56:B58"/>
    <mergeCell ref="B59:B61"/>
    <mergeCell ref="A54:A64"/>
    <mergeCell ref="B54:B55"/>
    <mergeCell ref="B65:B66"/>
    <mergeCell ref="A65:A75"/>
    <mergeCell ref="D30:D31"/>
    <mergeCell ref="B62:B64"/>
    <mergeCell ref="A44:A53"/>
    <mergeCell ref="B45:B49"/>
    <mergeCell ref="B50:B53"/>
    <mergeCell ref="B30:B31"/>
  </mergeCells>
  <phoneticPr fontId="15" type="noConversion"/>
  <dataValidations count="3">
    <dataValidation type="list" allowBlank="1" showInputMessage="1" showErrorMessage="1" sqref="C35 C40 C56:C67 C72 C76 C78 C80 C85 C87 C93:C94 C5:C33" xr:uid="{AD32ED3A-491D-44BE-9B63-1842BDDBF115}">
      <formula1>"공통, 일반, 진로, 융합, 전문"</formula1>
    </dataValidation>
    <dataValidation type="list" allowBlank="1" showInputMessage="1" showErrorMessage="1" sqref="M5:N33 M35:N94" xr:uid="{521976E8-60EF-44E1-9593-D722AEBBB6D2}">
      <formula1>"O, X"</formula1>
    </dataValidation>
    <dataValidation type="list" allowBlank="1" showInputMessage="1" showErrorMessage="1" sqref="O5:O33 O35:O94" xr:uid="{B195BB95-7397-4D0C-B14A-DA335AFE95B4}">
      <formula1>"성취도 5단계+석차등급O, 성취도 5단계+석차등급X, 성취도 3단계+성취도별 분포비율, 성취도 3단계, 이수/미이수"</formula1>
    </dataValidation>
  </dataValidations>
  <pageMargins left="0.7" right="0.7" top="0.75" bottom="0.75" header="0.3" footer="0.3"/>
  <pageSetup paperSize="8" scale="68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B3917-632F-4DDC-959F-968EF17FF71D}">
  <sheetPr>
    <pageSetUpPr fitToPage="1"/>
  </sheetPr>
  <dimension ref="A1:R1007"/>
  <sheetViews>
    <sheetView zoomScale="90" zoomScaleNormal="90" workbookViewId="0">
      <pane ySplit="4" topLeftCell="A5" activePane="bottomLeft" state="frozen"/>
      <selection pane="bottomLeft" activeCell="D89" sqref="D89"/>
    </sheetView>
  </sheetViews>
  <sheetFormatPr defaultColWidth="14.44140625" defaultRowHeight="15" customHeight="1"/>
  <cols>
    <col min="1" max="1" width="11.6640625" style="11" customWidth="1"/>
    <col min="2" max="2" width="9.5546875" style="11" customWidth="1"/>
    <col min="3" max="3" width="11.88671875" style="11" customWidth="1"/>
    <col min="4" max="4" width="24" style="11" customWidth="1"/>
    <col min="5" max="5" width="7.88671875" style="11" customWidth="1"/>
    <col min="6" max="6" width="7.6640625" style="11" customWidth="1"/>
    <col min="7" max="12" width="7.88671875" style="11" customWidth="1"/>
    <col min="13" max="13" width="9" style="11" customWidth="1"/>
    <col min="14" max="14" width="9.88671875" style="11" customWidth="1"/>
    <col min="15" max="15" width="24.109375" style="26" customWidth="1"/>
    <col min="16" max="16" width="2" style="11" customWidth="1"/>
    <col min="17" max="18" width="5.5546875" style="11" customWidth="1"/>
    <col min="19" max="26" width="9" style="11" customWidth="1"/>
    <col min="27" max="16384" width="14.44140625" style="11"/>
  </cols>
  <sheetData>
    <row r="1" spans="1:18" ht="33" customHeight="1">
      <c r="A1" s="353" t="s">
        <v>422</v>
      </c>
      <c r="B1" s="354"/>
      <c r="C1" s="354"/>
      <c r="D1" s="354"/>
      <c r="E1" s="354"/>
      <c r="F1" s="354"/>
      <c r="G1" s="354"/>
      <c r="H1" s="354"/>
      <c r="I1" s="354"/>
      <c r="J1" s="354"/>
      <c r="K1" s="354"/>
      <c r="L1" s="354"/>
      <c r="M1" s="354"/>
      <c r="N1" s="354"/>
      <c r="O1" s="354"/>
      <c r="P1" s="354"/>
      <c r="Q1" s="52" t="s">
        <v>313</v>
      </c>
      <c r="R1" s="52" t="s">
        <v>314</v>
      </c>
    </row>
    <row r="2" spans="1:18" ht="33" customHeight="1" thickBot="1">
      <c r="A2" s="355" t="s">
        <v>423</v>
      </c>
      <c r="B2" s="356"/>
      <c r="C2" s="356"/>
      <c r="D2" s="356"/>
      <c r="E2" s="356"/>
      <c r="F2" s="356"/>
      <c r="G2" s="356"/>
      <c r="H2" s="356"/>
      <c r="I2" s="356"/>
      <c r="J2" s="356"/>
      <c r="K2" s="356"/>
      <c r="L2" s="356"/>
      <c r="M2" s="356"/>
      <c r="N2" s="356"/>
      <c r="O2" s="356"/>
    </row>
    <row r="3" spans="1:18" ht="34.5" customHeight="1">
      <c r="A3" s="357" t="s">
        <v>419</v>
      </c>
      <c r="B3" s="359" t="s">
        <v>0</v>
      </c>
      <c r="C3" s="361" t="s">
        <v>1</v>
      </c>
      <c r="D3" s="359" t="s">
        <v>2</v>
      </c>
      <c r="E3" s="361" t="s">
        <v>3</v>
      </c>
      <c r="F3" s="362" t="s">
        <v>4</v>
      </c>
      <c r="G3" s="363" t="s">
        <v>5</v>
      </c>
      <c r="H3" s="364"/>
      <c r="I3" s="365" t="s">
        <v>6</v>
      </c>
      <c r="J3" s="364"/>
      <c r="K3" s="365" t="s">
        <v>7</v>
      </c>
      <c r="L3" s="364"/>
      <c r="M3" s="366" t="s">
        <v>8</v>
      </c>
      <c r="N3" s="367"/>
      <c r="O3" s="368" t="s">
        <v>9</v>
      </c>
    </row>
    <row r="4" spans="1:18" ht="16.5" customHeight="1" thickBot="1">
      <c r="A4" s="358"/>
      <c r="B4" s="360"/>
      <c r="C4" s="360"/>
      <c r="D4" s="360"/>
      <c r="E4" s="360"/>
      <c r="F4" s="275"/>
      <c r="G4" s="30" t="s">
        <v>10</v>
      </c>
      <c r="H4" s="1" t="s">
        <v>11</v>
      </c>
      <c r="I4" s="1" t="s">
        <v>10</v>
      </c>
      <c r="J4" s="1" t="s">
        <v>11</v>
      </c>
      <c r="K4" s="1" t="s">
        <v>10</v>
      </c>
      <c r="L4" s="1" t="s">
        <v>11</v>
      </c>
      <c r="M4" s="1" t="s">
        <v>0</v>
      </c>
      <c r="N4" s="31" t="s">
        <v>12</v>
      </c>
      <c r="O4" s="369"/>
    </row>
    <row r="5" spans="1:18" ht="16.5" customHeight="1">
      <c r="A5" s="332" t="s">
        <v>13</v>
      </c>
      <c r="B5" s="333" t="s">
        <v>14</v>
      </c>
      <c r="C5" s="162" t="str">
        <f>VLOOKUP(D5,숨김!$B$3:$E$300,2,0)</f>
        <v>공통</v>
      </c>
      <c r="D5" s="162" t="s">
        <v>308</v>
      </c>
      <c r="E5" s="162">
        <f>VLOOKUP(D5,숨김!$B$3:$E$300,3,0)</f>
        <v>4</v>
      </c>
      <c r="F5" s="163">
        <v>4</v>
      </c>
      <c r="G5" s="170">
        <v>4</v>
      </c>
      <c r="H5" s="162"/>
      <c r="I5" s="162"/>
      <c r="J5" s="162"/>
      <c r="K5" s="162"/>
      <c r="L5" s="162"/>
      <c r="M5" s="333">
        <f>SUM(G5:L9)</f>
        <v>20</v>
      </c>
      <c r="N5" s="335">
        <f>SUM(M5,M10,M15)</f>
        <v>60</v>
      </c>
      <c r="O5" s="164" t="str">
        <f>VLOOKUP(D5,숨김!$B$3:$E$300,4,0)</f>
        <v>성취도 5단계+석차등급O</v>
      </c>
    </row>
    <row r="6" spans="1:18" ht="16.5" customHeight="1">
      <c r="A6" s="304"/>
      <c r="B6" s="334"/>
      <c r="C6" s="162" t="str">
        <f>VLOOKUP(D6,숨김!$B$3:$E$300,2,0)</f>
        <v>공통</v>
      </c>
      <c r="D6" s="162" t="s">
        <v>301</v>
      </c>
      <c r="E6" s="162">
        <f>VLOOKUP(D6,숨김!$B$3:$E$300,3,0)</f>
        <v>4</v>
      </c>
      <c r="F6" s="163">
        <v>4</v>
      </c>
      <c r="G6" s="170"/>
      <c r="H6" s="162">
        <v>4</v>
      </c>
      <c r="I6" s="162"/>
      <c r="J6" s="162"/>
      <c r="K6" s="162"/>
      <c r="L6" s="162"/>
      <c r="M6" s="334"/>
      <c r="N6" s="336"/>
      <c r="O6" s="164" t="str">
        <f>VLOOKUP(D6,숨김!$B$3:$E$300,4,0)</f>
        <v>성취도 5단계+석차등급O</v>
      </c>
    </row>
    <row r="7" spans="1:18" ht="16.5" customHeight="1">
      <c r="A7" s="304"/>
      <c r="B7" s="334"/>
      <c r="C7" s="162" t="str">
        <f>VLOOKUP(D7,숨김!$B$3:$E$300,2,0)</f>
        <v>일반</v>
      </c>
      <c r="D7" s="162" t="s">
        <v>424</v>
      </c>
      <c r="E7" s="162">
        <f>VLOOKUP(D7,숨김!$B$3:$E$300,3,0)</f>
        <v>4</v>
      </c>
      <c r="F7" s="163">
        <v>4</v>
      </c>
      <c r="G7" s="170"/>
      <c r="H7" s="162"/>
      <c r="I7" s="162">
        <v>4</v>
      </c>
      <c r="J7" s="162"/>
      <c r="K7" s="162"/>
      <c r="L7" s="162"/>
      <c r="M7" s="334"/>
      <c r="N7" s="336"/>
      <c r="O7" s="164" t="str">
        <f>VLOOKUP(D7,숨김!$B$3:$E$300,4,0)</f>
        <v>성취도 5단계+석차등급O</v>
      </c>
    </row>
    <row r="8" spans="1:18" ht="16.5" customHeight="1">
      <c r="A8" s="304"/>
      <c r="B8" s="334"/>
      <c r="C8" s="162" t="str">
        <f>VLOOKUP(D8,숨김!$B$3:$E$300,2,0)</f>
        <v>일반</v>
      </c>
      <c r="D8" s="59" t="s">
        <v>425</v>
      </c>
      <c r="E8" s="162">
        <f>VLOOKUP(D8,숨김!$B$3:$E$300,3,0)</f>
        <v>4</v>
      </c>
      <c r="F8" s="163">
        <v>4</v>
      </c>
      <c r="G8" s="60"/>
      <c r="H8" s="59"/>
      <c r="I8" s="59"/>
      <c r="J8" s="59">
        <v>4</v>
      </c>
      <c r="K8" s="59"/>
      <c r="L8" s="59"/>
      <c r="M8" s="334"/>
      <c r="N8" s="336"/>
      <c r="O8" s="164" t="str">
        <f>VLOOKUP(D8,숨김!$B$3:$E$300,4,0)</f>
        <v>성취도 5단계+석차등급O</v>
      </c>
    </row>
    <row r="9" spans="1:18" ht="16.5" customHeight="1">
      <c r="A9" s="304"/>
      <c r="B9" s="334"/>
      <c r="C9" s="162" t="str">
        <f>VLOOKUP(D9,숨김!$B$3:$E$300,2,0)</f>
        <v>일반</v>
      </c>
      <c r="D9" s="59" t="s">
        <v>426</v>
      </c>
      <c r="E9" s="162">
        <f>VLOOKUP(D9,숨김!$B$3:$E$300,3,0)</f>
        <v>4</v>
      </c>
      <c r="F9" s="163">
        <v>4</v>
      </c>
      <c r="G9" s="60"/>
      <c r="H9" s="59"/>
      <c r="I9" s="59"/>
      <c r="J9" s="59"/>
      <c r="K9" s="59">
        <v>4</v>
      </c>
      <c r="L9" s="59"/>
      <c r="M9" s="334"/>
      <c r="N9" s="336"/>
      <c r="O9" s="164" t="str">
        <f>VLOOKUP(D9,숨김!$B$3:$E$300,4,0)</f>
        <v>성취도 5단계+석차등급O</v>
      </c>
    </row>
    <row r="10" spans="1:18" ht="16.5" customHeight="1">
      <c r="A10" s="304"/>
      <c r="B10" s="339" t="s">
        <v>20</v>
      </c>
      <c r="C10" s="162" t="str">
        <f>VLOOKUP(D10,숨김!$B$3:$E$300,2,0)</f>
        <v>공통</v>
      </c>
      <c r="D10" s="59" t="s">
        <v>21</v>
      </c>
      <c r="E10" s="162">
        <f>VLOOKUP(D10,숨김!$B$3:$E$300,3,0)</f>
        <v>4</v>
      </c>
      <c r="F10" s="163">
        <v>4</v>
      </c>
      <c r="G10" s="60">
        <v>4</v>
      </c>
      <c r="H10" s="59"/>
      <c r="I10" s="59"/>
      <c r="J10" s="59"/>
      <c r="K10" s="59"/>
      <c r="L10" s="61"/>
      <c r="M10" s="340">
        <f t="shared" ref="M10" si="0">SUM(G10:L14)</f>
        <v>20</v>
      </c>
      <c r="N10" s="337"/>
      <c r="O10" s="164" t="str">
        <f>VLOOKUP(D10,숨김!$B$3:$E$300,4,0)</f>
        <v>성취도 5단계+석차등급O</v>
      </c>
    </row>
    <row r="11" spans="1:18" ht="16.5" customHeight="1">
      <c r="A11" s="304"/>
      <c r="B11" s="334"/>
      <c r="C11" s="162" t="str">
        <f>VLOOKUP(D11,숨김!$B$3:$E$300,2,0)</f>
        <v>공통</v>
      </c>
      <c r="D11" s="59" t="s">
        <v>22</v>
      </c>
      <c r="E11" s="162">
        <f>VLOOKUP(D11,숨김!$B$3:$E$300,3,0)</f>
        <v>4</v>
      </c>
      <c r="F11" s="163">
        <v>4</v>
      </c>
      <c r="G11" s="60"/>
      <c r="H11" s="59">
        <v>4</v>
      </c>
      <c r="I11" s="59"/>
      <c r="J11" s="59"/>
      <c r="K11" s="59"/>
      <c r="L11" s="61"/>
      <c r="M11" s="341"/>
      <c r="N11" s="337"/>
      <c r="O11" s="164" t="str">
        <f>VLOOKUP(D11,숨김!$B$3:$E$300,4,0)</f>
        <v>성취도 5단계+석차등급O</v>
      </c>
    </row>
    <row r="12" spans="1:18" ht="16.5" customHeight="1">
      <c r="A12" s="304"/>
      <c r="B12" s="334"/>
      <c r="C12" s="162" t="str">
        <f>VLOOKUP(D12,숨김!$B$3:$E$300,2,0)</f>
        <v>일반</v>
      </c>
      <c r="D12" s="59" t="s">
        <v>427</v>
      </c>
      <c r="E12" s="162">
        <f>VLOOKUP(D12,숨김!$B$3:$E$300,3,0)</f>
        <v>4</v>
      </c>
      <c r="F12" s="163">
        <v>4</v>
      </c>
      <c r="G12" s="60"/>
      <c r="H12" s="59"/>
      <c r="I12" s="59">
        <v>4</v>
      </c>
      <c r="J12" s="59"/>
      <c r="K12" s="59"/>
      <c r="L12" s="61"/>
      <c r="M12" s="341"/>
      <c r="N12" s="337"/>
      <c r="O12" s="164" t="str">
        <f>VLOOKUP(D12,숨김!$B$3:$E$300,4,0)</f>
        <v>성취도 5단계+석차등급O</v>
      </c>
    </row>
    <row r="13" spans="1:18" ht="16.2" customHeight="1">
      <c r="A13" s="304"/>
      <c r="B13" s="334"/>
      <c r="C13" s="162" t="str">
        <f>VLOOKUP(D13,숨김!$B$3:$E$300,2,0)</f>
        <v>일반</v>
      </c>
      <c r="D13" s="59" t="s">
        <v>428</v>
      </c>
      <c r="E13" s="162">
        <f>VLOOKUP(D13,숨김!$B$3:$E$300,3,0)</f>
        <v>4</v>
      </c>
      <c r="F13" s="163">
        <v>4</v>
      </c>
      <c r="G13" s="60"/>
      <c r="H13" s="59"/>
      <c r="I13" s="59"/>
      <c r="J13" s="59">
        <v>4</v>
      </c>
      <c r="K13" s="59"/>
      <c r="L13" s="61"/>
      <c r="M13" s="341"/>
      <c r="N13" s="337"/>
      <c r="O13" s="164" t="str">
        <f>VLOOKUP(D13,숨김!$B$3:$E$300,4,0)</f>
        <v>성취도 5단계+석차등급O</v>
      </c>
    </row>
    <row r="14" spans="1:18" ht="16.5" customHeight="1">
      <c r="A14" s="304"/>
      <c r="B14" s="334"/>
      <c r="C14" s="162" t="str">
        <f>VLOOKUP(D14,숨김!$B$3:$E$300,2,0)</f>
        <v>일반</v>
      </c>
      <c r="D14" s="59" t="s">
        <v>429</v>
      </c>
      <c r="E14" s="162">
        <f>VLOOKUP(D14,숨김!$B$3:$E$300,3,0)</f>
        <v>4</v>
      </c>
      <c r="F14" s="163">
        <v>4</v>
      </c>
      <c r="G14" s="60"/>
      <c r="H14" s="59"/>
      <c r="I14" s="59"/>
      <c r="J14" s="59"/>
      <c r="K14" s="59">
        <v>4</v>
      </c>
      <c r="L14" s="61"/>
      <c r="M14" s="341"/>
      <c r="N14" s="337"/>
      <c r="O14" s="164" t="str">
        <f>VLOOKUP(D14,숨김!$B$3:$E$300,4,0)</f>
        <v>성취도 5단계+석차등급O</v>
      </c>
    </row>
    <row r="15" spans="1:18" ht="16.5" customHeight="1">
      <c r="A15" s="304"/>
      <c r="B15" s="339" t="s">
        <v>23</v>
      </c>
      <c r="C15" s="162" t="str">
        <f>VLOOKUP(D15,숨김!$B$3:$E$300,2,0)</f>
        <v>공통</v>
      </c>
      <c r="D15" s="59" t="s">
        <v>24</v>
      </c>
      <c r="E15" s="162">
        <f>VLOOKUP(D15,숨김!$B$3:$E$300,3,0)</f>
        <v>4</v>
      </c>
      <c r="F15" s="163">
        <v>4</v>
      </c>
      <c r="G15" s="60">
        <v>4</v>
      </c>
      <c r="H15" s="59"/>
      <c r="I15" s="59"/>
      <c r="J15" s="59"/>
      <c r="K15" s="59"/>
      <c r="L15" s="59"/>
      <c r="M15" s="342">
        <f t="shared" ref="M15" si="1">SUM(G15:L19)</f>
        <v>20</v>
      </c>
      <c r="N15" s="336"/>
      <c r="O15" s="164" t="str">
        <f>VLOOKUP(D15,숨김!$B$3:$E$300,4,0)</f>
        <v>성취도 5단계+석차등급O</v>
      </c>
    </row>
    <row r="16" spans="1:18" ht="16.5" customHeight="1">
      <c r="A16" s="304"/>
      <c r="B16" s="334"/>
      <c r="C16" s="162" t="str">
        <f>VLOOKUP(D16,숨김!$B$3:$E$300,2,0)</f>
        <v>공통</v>
      </c>
      <c r="D16" s="59" t="s">
        <v>25</v>
      </c>
      <c r="E16" s="162">
        <f>VLOOKUP(D16,숨김!$B$3:$E$300,3,0)</f>
        <v>4</v>
      </c>
      <c r="F16" s="163">
        <v>4</v>
      </c>
      <c r="G16" s="60"/>
      <c r="H16" s="59">
        <v>4</v>
      </c>
      <c r="I16" s="59"/>
      <c r="J16" s="59"/>
      <c r="K16" s="59"/>
      <c r="L16" s="59"/>
      <c r="M16" s="334"/>
      <c r="N16" s="336"/>
      <c r="O16" s="164" t="str">
        <f>VLOOKUP(D16,숨김!$B$3:$E$300,4,0)</f>
        <v>성취도 5단계+석차등급O</v>
      </c>
    </row>
    <row r="17" spans="1:15" ht="16.5" customHeight="1">
      <c r="A17" s="304"/>
      <c r="B17" s="334"/>
      <c r="C17" s="162" t="str">
        <f>VLOOKUP(D17,숨김!$B$3:$E$300,2,0)</f>
        <v>일반</v>
      </c>
      <c r="D17" s="59" t="s">
        <v>430</v>
      </c>
      <c r="E17" s="162">
        <f>VLOOKUP(D17,숨김!$B$3:$E$300,3,0)</f>
        <v>4</v>
      </c>
      <c r="F17" s="163">
        <v>4</v>
      </c>
      <c r="G17" s="60"/>
      <c r="H17" s="59"/>
      <c r="I17" s="59">
        <v>4</v>
      </c>
      <c r="J17" s="59"/>
      <c r="K17" s="59"/>
      <c r="L17" s="59"/>
      <c r="M17" s="334"/>
      <c r="N17" s="336"/>
      <c r="O17" s="164" t="str">
        <f>VLOOKUP(D17,숨김!$B$3:$E$300,4,0)</f>
        <v>성취도 5단계+석차등급O</v>
      </c>
    </row>
    <row r="18" spans="1:15" ht="16.5" customHeight="1">
      <c r="A18" s="304"/>
      <c r="B18" s="334"/>
      <c r="C18" s="162" t="str">
        <f>VLOOKUP(D18,숨김!$B$3:$E$300,2,0)</f>
        <v>일반</v>
      </c>
      <c r="D18" s="59" t="s">
        <v>431</v>
      </c>
      <c r="E18" s="162">
        <f>VLOOKUP(D18,숨김!$B$3:$E$300,3,0)</f>
        <v>4</v>
      </c>
      <c r="F18" s="163">
        <v>4</v>
      </c>
      <c r="G18" s="60"/>
      <c r="H18" s="59"/>
      <c r="I18" s="59"/>
      <c r="J18" s="59">
        <v>4</v>
      </c>
      <c r="K18" s="59"/>
      <c r="L18" s="59"/>
      <c r="M18" s="334"/>
      <c r="N18" s="336"/>
      <c r="O18" s="164" t="str">
        <f>VLOOKUP(D18,숨김!$B$3:$E$300,4,0)</f>
        <v>성취도 5단계+석차등급O</v>
      </c>
    </row>
    <row r="19" spans="1:15" ht="16.5" customHeight="1">
      <c r="A19" s="304"/>
      <c r="B19" s="334"/>
      <c r="C19" s="162" t="str">
        <f>VLOOKUP(D19,숨김!$B$3:$E$300,2,0)</f>
        <v>일반</v>
      </c>
      <c r="D19" s="59" t="s">
        <v>432</v>
      </c>
      <c r="E19" s="162">
        <f>VLOOKUP(D19,숨김!$B$3:$E$300,3,0)</f>
        <v>4</v>
      </c>
      <c r="F19" s="163">
        <v>4</v>
      </c>
      <c r="G19" s="60"/>
      <c r="H19" s="59"/>
      <c r="I19" s="59"/>
      <c r="J19" s="59"/>
      <c r="K19" s="59">
        <v>4</v>
      </c>
      <c r="L19" s="59"/>
      <c r="M19" s="334"/>
      <c r="N19" s="338"/>
      <c r="O19" s="164" t="str">
        <f>VLOOKUP(D19,숨김!$B$3:$E$300,4,0)</f>
        <v>성취도 5단계+석차등급O</v>
      </c>
    </row>
    <row r="20" spans="1:15" ht="16.5" customHeight="1">
      <c r="A20" s="304"/>
      <c r="B20" s="322" t="s">
        <v>57</v>
      </c>
      <c r="C20" s="162" t="str">
        <f>VLOOKUP(D20,숨김!$B$3:$E$300,2,0)</f>
        <v>공통</v>
      </c>
      <c r="D20" s="59" t="s">
        <v>26</v>
      </c>
      <c r="E20" s="162">
        <f>VLOOKUP(D20,숨김!$B$3:$E$300,3,0)</f>
        <v>3</v>
      </c>
      <c r="F20" s="163">
        <v>3</v>
      </c>
      <c r="G20" s="60">
        <v>3</v>
      </c>
      <c r="H20" s="59"/>
      <c r="I20" s="59"/>
      <c r="J20" s="59"/>
      <c r="K20" s="59"/>
      <c r="L20" s="59"/>
      <c r="M20" s="324">
        <f>SUM(G20:L21)</f>
        <v>6</v>
      </c>
      <c r="N20" s="343"/>
      <c r="O20" s="164" t="str">
        <f>VLOOKUP(D20,숨김!$B$3:$E$300,4,0)</f>
        <v>성취도 5단계+석차등급O</v>
      </c>
    </row>
    <row r="21" spans="1:15" ht="16.5" customHeight="1">
      <c r="A21" s="304"/>
      <c r="B21" s="342"/>
      <c r="C21" s="162" t="str">
        <f>VLOOKUP(D21,숨김!$B$3:$E$300,2,0)</f>
        <v>공통</v>
      </c>
      <c r="D21" s="59" t="s">
        <v>27</v>
      </c>
      <c r="E21" s="162">
        <f>VLOOKUP(D21,숨김!$B$3:$E$300,3,0)</f>
        <v>3</v>
      </c>
      <c r="F21" s="163">
        <v>3</v>
      </c>
      <c r="G21" s="60"/>
      <c r="H21" s="59">
        <v>3</v>
      </c>
      <c r="I21" s="59"/>
      <c r="J21" s="59"/>
      <c r="K21" s="59"/>
      <c r="L21" s="59"/>
      <c r="M21" s="344"/>
      <c r="N21" s="345"/>
      <c r="O21" s="164" t="str">
        <f>VLOOKUP(D21,숨김!$B$3:$E$300,4,0)</f>
        <v>성취도 5단계+석차등급O</v>
      </c>
    </row>
    <row r="22" spans="1:15" ht="16.5" customHeight="1">
      <c r="A22" s="304"/>
      <c r="B22" s="342"/>
      <c r="C22" s="162" t="str">
        <f>VLOOKUP(D22,숨김!$B$3:$E$300,2,0)</f>
        <v>공통</v>
      </c>
      <c r="D22" s="59" t="s">
        <v>28</v>
      </c>
      <c r="E22" s="162">
        <f>VLOOKUP(D22,숨김!$B$3:$E$300,3,0)</f>
        <v>4</v>
      </c>
      <c r="F22" s="163">
        <v>4</v>
      </c>
      <c r="G22" s="60">
        <v>4</v>
      </c>
      <c r="H22" s="59"/>
      <c r="I22" s="59"/>
      <c r="J22" s="59"/>
      <c r="K22" s="59"/>
      <c r="L22" s="59"/>
      <c r="M22" s="324">
        <f>SUM(G22:L23)</f>
        <v>8</v>
      </c>
      <c r="N22" s="343"/>
      <c r="O22" s="164" t="str">
        <f>VLOOKUP(D22,숨김!$B$3:$E$300,4,0)</f>
        <v>성취도 5단계+석차등급O</v>
      </c>
    </row>
    <row r="23" spans="1:15" ht="16.5" customHeight="1">
      <c r="A23" s="304"/>
      <c r="B23" s="323"/>
      <c r="C23" s="162" t="str">
        <f>VLOOKUP(D23,숨김!$B$3:$E$300,2,0)</f>
        <v>공통</v>
      </c>
      <c r="D23" s="59" t="s">
        <v>29</v>
      </c>
      <c r="E23" s="162">
        <f>VLOOKUP(D23,숨김!$B$3:$E$300,3,0)</f>
        <v>4</v>
      </c>
      <c r="F23" s="163">
        <v>4</v>
      </c>
      <c r="G23" s="60"/>
      <c r="H23" s="59">
        <v>4</v>
      </c>
      <c r="I23" s="59"/>
      <c r="J23" s="59"/>
      <c r="K23" s="59"/>
      <c r="L23" s="59"/>
      <c r="M23" s="344"/>
      <c r="N23" s="345"/>
      <c r="O23" s="164" t="str">
        <f>VLOOKUP(D23,숨김!$B$3:$E$300,4,0)</f>
        <v>성취도 5단계+석차등급O</v>
      </c>
    </row>
    <row r="24" spans="1:15" ht="16.5" customHeight="1">
      <c r="A24" s="304"/>
      <c r="B24" s="339" t="s">
        <v>56</v>
      </c>
      <c r="C24" s="162" t="str">
        <f>VLOOKUP(D24,숨김!$B$3:$E$300,2,0)</f>
        <v>공통</v>
      </c>
      <c r="D24" s="59" t="s">
        <v>30</v>
      </c>
      <c r="E24" s="162">
        <f>VLOOKUP(D24,숨김!$B$3:$E$300,3,0)</f>
        <v>4</v>
      </c>
      <c r="F24" s="163">
        <v>4</v>
      </c>
      <c r="G24" s="60">
        <v>4</v>
      </c>
      <c r="H24" s="59"/>
      <c r="I24" s="59"/>
      <c r="J24" s="59"/>
      <c r="K24" s="59"/>
      <c r="L24" s="59"/>
      <c r="M24" s="324">
        <f>SUM(G24:L27)</f>
        <v>10</v>
      </c>
      <c r="N24" s="347"/>
      <c r="O24" s="164" t="str">
        <f>VLOOKUP(D24,숨김!$B$3:$E$300,4,0)</f>
        <v>성취도 5단계+석차등급O</v>
      </c>
    </row>
    <row r="25" spans="1:15" ht="16.5" customHeight="1">
      <c r="A25" s="304"/>
      <c r="B25" s="334"/>
      <c r="C25" s="162" t="str">
        <f>VLOOKUP(D25,숨김!$B$3:$E$300,2,0)</f>
        <v>공통</v>
      </c>
      <c r="D25" s="59" t="s">
        <v>31</v>
      </c>
      <c r="E25" s="162">
        <f>VLOOKUP(D25,숨김!$B$3:$E$300,3,0)</f>
        <v>4</v>
      </c>
      <c r="F25" s="163">
        <v>4</v>
      </c>
      <c r="G25" s="60"/>
      <c r="H25" s="59">
        <v>4</v>
      </c>
      <c r="I25" s="59"/>
      <c r="J25" s="59"/>
      <c r="K25" s="59"/>
      <c r="L25" s="59"/>
      <c r="M25" s="348"/>
      <c r="N25" s="349"/>
      <c r="O25" s="164" t="str">
        <f>VLOOKUP(D25,숨김!$B$3:$E$300,4,0)</f>
        <v>성취도 5단계+석차등급O</v>
      </c>
    </row>
    <row r="26" spans="1:15" ht="16.5" customHeight="1">
      <c r="A26" s="304"/>
      <c r="B26" s="334"/>
      <c r="C26" s="162" t="str">
        <f>VLOOKUP(D26,숨김!$B$3:$E$300,2,0)</f>
        <v>공통</v>
      </c>
      <c r="D26" s="59" t="s">
        <v>32</v>
      </c>
      <c r="E26" s="162">
        <f>VLOOKUP(D26,숨김!$B$3:$E$300,3,0)</f>
        <v>1</v>
      </c>
      <c r="F26" s="163">
        <v>1</v>
      </c>
      <c r="G26" s="60">
        <v>1</v>
      </c>
      <c r="H26" s="59"/>
      <c r="I26" s="59"/>
      <c r="J26" s="59"/>
      <c r="K26" s="59"/>
      <c r="L26" s="59"/>
      <c r="M26" s="348"/>
      <c r="N26" s="349"/>
      <c r="O26" s="164" t="str">
        <f>VLOOKUP(D26,숨김!$B$3:$E$300,4,0)</f>
        <v>성취도 3단계</v>
      </c>
    </row>
    <row r="27" spans="1:15" ht="16.5" customHeight="1">
      <c r="A27" s="304"/>
      <c r="B27" s="346"/>
      <c r="C27" s="162" t="str">
        <f>VLOOKUP(D27,숨김!$B$3:$E$300,2,0)</f>
        <v>공통</v>
      </c>
      <c r="D27" s="59" t="s">
        <v>34</v>
      </c>
      <c r="E27" s="162">
        <f>VLOOKUP(D27,숨김!$B$3:$E$300,3,0)</f>
        <v>1</v>
      </c>
      <c r="F27" s="163">
        <v>1</v>
      </c>
      <c r="G27" s="60"/>
      <c r="H27" s="59">
        <v>1</v>
      </c>
      <c r="I27" s="59"/>
      <c r="J27" s="59"/>
      <c r="K27" s="59"/>
      <c r="L27" s="59"/>
      <c r="M27" s="350"/>
      <c r="N27" s="351"/>
      <c r="O27" s="164" t="str">
        <f>VLOOKUP(D27,숨김!$B$3:$E$300,4,0)</f>
        <v>성취도 3단계</v>
      </c>
    </row>
    <row r="28" spans="1:15" ht="16.5" customHeight="1">
      <c r="A28" s="304"/>
      <c r="B28" s="339" t="s">
        <v>300</v>
      </c>
      <c r="C28" s="162" t="str">
        <f>VLOOKUP(D28,숨김!$B$3:$E$300,2,0)</f>
        <v>일반</v>
      </c>
      <c r="D28" s="59" t="s">
        <v>433</v>
      </c>
      <c r="E28" s="162">
        <f>VLOOKUP(D28,숨김!$B$3:$E$300,3,0)</f>
        <v>3</v>
      </c>
      <c r="F28" s="163">
        <v>2</v>
      </c>
      <c r="G28" s="60">
        <v>2</v>
      </c>
      <c r="H28" s="59"/>
      <c r="I28" s="59"/>
      <c r="J28" s="59"/>
      <c r="K28" s="59"/>
      <c r="L28" s="59"/>
      <c r="M28" s="324">
        <f>SUM(G28:L33)</f>
        <v>10</v>
      </c>
      <c r="N28" s="343"/>
      <c r="O28" s="164" t="str">
        <f>VLOOKUP(D28,숨김!$B$3:$E$300,4,0)</f>
        <v>성취도 3단계</v>
      </c>
    </row>
    <row r="29" spans="1:15" ht="16.5" customHeight="1">
      <c r="A29" s="304"/>
      <c r="B29" s="334"/>
      <c r="C29" s="162" t="str">
        <f>VLOOKUP(D29,숨김!$B$3:$E$300,2,0)</f>
        <v>일반</v>
      </c>
      <c r="D29" s="59" t="s">
        <v>434</v>
      </c>
      <c r="E29" s="162">
        <f>VLOOKUP(D29,숨김!$B$3:$E$300,3,0)</f>
        <v>3</v>
      </c>
      <c r="F29" s="163">
        <v>2</v>
      </c>
      <c r="G29" s="60"/>
      <c r="H29" s="59">
        <v>2</v>
      </c>
      <c r="I29" s="59"/>
      <c r="J29" s="59"/>
      <c r="K29" s="59"/>
      <c r="L29" s="59"/>
      <c r="M29" s="352"/>
      <c r="N29" s="337"/>
      <c r="O29" s="164" t="str">
        <f>VLOOKUP(D29,숨김!$B$3:$E$300,4,0)</f>
        <v>성취도 3단계</v>
      </c>
    </row>
    <row r="30" spans="1:15" ht="16.5" customHeight="1">
      <c r="A30" s="304"/>
      <c r="B30" s="334"/>
      <c r="C30" s="162" t="str">
        <f>VLOOKUP(D30,숨김!$B$3:$E$300,2,0)</f>
        <v>진로</v>
      </c>
      <c r="D30" s="59" t="s">
        <v>435</v>
      </c>
      <c r="E30" s="162">
        <f>VLOOKUP(D30,숨김!$B$3:$E$300,3,0)</f>
        <v>2</v>
      </c>
      <c r="F30" s="163">
        <v>1</v>
      </c>
      <c r="G30" s="60"/>
      <c r="H30" s="59"/>
      <c r="I30" s="59">
        <v>1</v>
      </c>
      <c r="J30" s="59"/>
      <c r="K30" s="59"/>
      <c r="L30" s="59"/>
      <c r="M30" s="352"/>
      <c r="N30" s="337"/>
      <c r="O30" s="164" t="str">
        <f>VLOOKUP(D30,숨김!$B$3:$E$300,4,0)</f>
        <v>성취도 3단계</v>
      </c>
    </row>
    <row r="31" spans="1:15" ht="16.5" customHeight="1">
      <c r="A31" s="304"/>
      <c r="B31" s="334"/>
      <c r="C31" s="162" t="str">
        <f>VLOOKUP(D31,숨김!$B$3:$E$300,2,0)</f>
        <v>진로</v>
      </c>
      <c r="D31" s="59" t="s">
        <v>436</v>
      </c>
      <c r="E31" s="162">
        <f>VLOOKUP(D31,숨김!$B$3:$E$300,3,0)</f>
        <v>2</v>
      </c>
      <c r="F31" s="163">
        <v>1</v>
      </c>
      <c r="G31" s="60"/>
      <c r="H31" s="59"/>
      <c r="I31" s="59"/>
      <c r="J31" s="59">
        <v>1</v>
      </c>
      <c r="K31" s="59"/>
      <c r="L31" s="59"/>
      <c r="M31" s="352"/>
      <c r="N31" s="337"/>
      <c r="O31" s="164" t="str">
        <f>VLOOKUP(D31,숨김!$B$3:$E$300,4,0)</f>
        <v>성취도 3단계</v>
      </c>
    </row>
    <row r="32" spans="1:15" ht="16.5" customHeight="1">
      <c r="A32" s="304"/>
      <c r="B32" s="334"/>
      <c r="C32" s="162" t="str">
        <f>VLOOKUP(D32,숨김!$B$3:$E$300,2,0)</f>
        <v>융합</v>
      </c>
      <c r="D32" s="59" t="s">
        <v>437</v>
      </c>
      <c r="E32" s="162">
        <f>VLOOKUP(D32,숨김!$B$3:$E$300,3,0)</f>
        <v>3</v>
      </c>
      <c r="F32" s="163">
        <v>2</v>
      </c>
      <c r="G32" s="60"/>
      <c r="H32" s="59"/>
      <c r="I32" s="59"/>
      <c r="J32" s="59"/>
      <c r="K32" s="59">
        <v>2</v>
      </c>
      <c r="L32" s="59"/>
      <c r="M32" s="352"/>
      <c r="N32" s="337"/>
      <c r="O32" s="164" t="str">
        <f>VLOOKUP(D32,숨김!$B$3:$E$300,4,0)</f>
        <v>성취도 3단계</v>
      </c>
    </row>
    <row r="33" spans="1:15" ht="16.5" customHeight="1">
      <c r="A33" s="304"/>
      <c r="B33" s="346"/>
      <c r="C33" s="162" t="str">
        <f>VLOOKUP(D33,숨김!$B$3:$E$300,2,0)</f>
        <v>융합</v>
      </c>
      <c r="D33" s="59" t="s">
        <v>438</v>
      </c>
      <c r="E33" s="162">
        <f>VLOOKUP(D33,숨김!$B$3:$E$300,3,0)</f>
        <v>3</v>
      </c>
      <c r="F33" s="163">
        <v>2</v>
      </c>
      <c r="G33" s="60"/>
      <c r="H33" s="59"/>
      <c r="I33" s="59"/>
      <c r="J33" s="59"/>
      <c r="K33" s="59"/>
      <c r="L33" s="59">
        <v>2</v>
      </c>
      <c r="M33" s="344"/>
      <c r="N33" s="345"/>
      <c r="O33" s="164" t="str">
        <f>VLOOKUP(D33,숨김!$B$3:$E$300,4,0)</f>
        <v>성취도 3단계</v>
      </c>
    </row>
    <row r="34" spans="1:15" ht="16.5" customHeight="1">
      <c r="A34" s="304"/>
      <c r="B34" s="161" t="s">
        <v>302</v>
      </c>
      <c r="C34" s="162" t="s">
        <v>19</v>
      </c>
      <c r="D34" s="59" t="s">
        <v>440</v>
      </c>
      <c r="E34" s="162">
        <v>3</v>
      </c>
      <c r="F34" s="163" t="s">
        <v>439</v>
      </c>
      <c r="G34" s="60"/>
      <c r="H34" s="59"/>
      <c r="I34" s="59">
        <v>2</v>
      </c>
      <c r="J34" s="59">
        <v>2</v>
      </c>
      <c r="K34" s="59"/>
      <c r="L34" s="59"/>
      <c r="M34" s="324">
        <f>SUM(G34:L34)</f>
        <v>4</v>
      </c>
      <c r="N34" s="325"/>
      <c r="O34" s="164" t="s">
        <v>33</v>
      </c>
    </row>
    <row r="35" spans="1:15" ht="16.5" customHeight="1">
      <c r="A35" s="304"/>
      <c r="B35" s="62" t="s">
        <v>39</v>
      </c>
      <c r="C35" s="162" t="s">
        <v>19</v>
      </c>
      <c r="D35" s="322" t="s">
        <v>441</v>
      </c>
      <c r="E35" s="322">
        <v>4</v>
      </c>
      <c r="F35" s="328" t="s">
        <v>442</v>
      </c>
      <c r="G35" s="330">
        <v>3</v>
      </c>
      <c r="H35" s="322">
        <v>3</v>
      </c>
      <c r="I35" s="322"/>
      <c r="J35" s="322"/>
      <c r="K35" s="322"/>
      <c r="L35" s="322"/>
      <c r="M35" s="324">
        <v>6</v>
      </c>
      <c r="N35" s="325"/>
      <c r="O35" s="314" t="s">
        <v>17</v>
      </c>
    </row>
    <row r="36" spans="1:15" ht="16.5" customHeight="1" thickBot="1">
      <c r="A36" s="304"/>
      <c r="B36" s="63" t="s">
        <v>40</v>
      </c>
      <c r="C36" s="162" t="s">
        <v>19</v>
      </c>
      <c r="D36" s="323"/>
      <c r="E36" s="323"/>
      <c r="F36" s="329"/>
      <c r="G36" s="331"/>
      <c r="H36" s="323"/>
      <c r="I36" s="323"/>
      <c r="J36" s="323"/>
      <c r="K36" s="323"/>
      <c r="L36" s="323"/>
      <c r="M36" s="326"/>
      <c r="N36" s="327"/>
      <c r="O36" s="315"/>
    </row>
    <row r="37" spans="1:15" ht="16.5" customHeight="1" thickBot="1">
      <c r="A37" s="316" t="s">
        <v>41</v>
      </c>
      <c r="B37" s="317"/>
      <c r="C37" s="317"/>
      <c r="D37" s="318"/>
      <c r="E37" s="9"/>
      <c r="F37" s="165"/>
      <c r="G37" s="34">
        <f t="shared" ref="G37:L37" si="2">SUM(G5:G36)</f>
        <v>29</v>
      </c>
      <c r="H37" s="9">
        <f t="shared" si="2"/>
        <v>29</v>
      </c>
      <c r="I37" s="9">
        <f t="shared" si="2"/>
        <v>15</v>
      </c>
      <c r="J37" s="9">
        <f t="shared" si="2"/>
        <v>15</v>
      </c>
      <c r="K37" s="9">
        <f t="shared" si="2"/>
        <v>14</v>
      </c>
      <c r="L37" s="9">
        <f t="shared" si="2"/>
        <v>2</v>
      </c>
      <c r="M37" s="319">
        <f>SUM(G37:L37)</f>
        <v>104</v>
      </c>
      <c r="N37" s="320"/>
      <c r="O37" s="28"/>
    </row>
    <row r="38" spans="1:15" ht="16.5" customHeight="1">
      <c r="A38" s="267" t="s">
        <v>42</v>
      </c>
      <c r="B38" s="321" t="s">
        <v>445</v>
      </c>
      <c r="C38" s="162" t="str">
        <f>VLOOKUP(D38,숨김!$B$3:$E$300,2,0)</f>
        <v>진로</v>
      </c>
      <c r="D38" s="169" t="s">
        <v>443</v>
      </c>
      <c r="E38" s="169">
        <f>VLOOKUP(D38,숨김!$B$3:$E$300,3,0)</f>
        <v>4</v>
      </c>
      <c r="F38" s="173">
        <v>4</v>
      </c>
      <c r="G38" s="32"/>
      <c r="H38" s="169"/>
      <c r="I38" s="74">
        <v>4</v>
      </c>
      <c r="J38" s="172"/>
      <c r="K38" s="169"/>
      <c r="L38" s="169"/>
      <c r="M38" s="273">
        <f>SUM(G38:L46)</f>
        <v>12</v>
      </c>
      <c r="N38" s="307"/>
      <c r="O38" s="164" t="str">
        <f>VLOOKUP(D38,숨김!$B$3:$E$300,4,0)</f>
        <v>성취도 5단계+석차등급O</v>
      </c>
    </row>
    <row r="39" spans="1:15" ht="16.5" customHeight="1">
      <c r="A39" s="304"/>
      <c r="B39" s="254"/>
      <c r="C39" s="162" t="str">
        <f>VLOOKUP(D39,숨김!$B$3:$E$300,2,0)</f>
        <v>일반</v>
      </c>
      <c r="D39" s="2" t="s">
        <v>444</v>
      </c>
      <c r="E39" s="169">
        <f>VLOOKUP(D39,숨김!$B$3:$E$300,3,0)</f>
        <v>4</v>
      </c>
      <c r="F39" s="173">
        <v>4</v>
      </c>
      <c r="G39" s="33"/>
      <c r="H39" s="2"/>
      <c r="I39" s="171">
        <v>4</v>
      </c>
      <c r="J39" s="2"/>
      <c r="K39" s="2"/>
      <c r="L39" s="2"/>
      <c r="M39" s="306"/>
      <c r="N39" s="307"/>
      <c r="O39" s="164" t="str">
        <f>VLOOKUP(D39,숨김!$B$3:$E$300,4,0)</f>
        <v>성취도 5단계+석차등급O</v>
      </c>
    </row>
    <row r="40" spans="1:15" ht="16.5" customHeight="1">
      <c r="A40" s="304"/>
      <c r="B40" s="254"/>
      <c r="C40" s="162" t="str">
        <f>VLOOKUP(D40,숨김!$B$3:$E$300,2,0)</f>
        <v>진로</v>
      </c>
      <c r="D40" s="2" t="s">
        <v>446</v>
      </c>
      <c r="E40" s="169">
        <f>VLOOKUP(D40,숨김!$B$3:$E$300,3,0)</f>
        <v>4</v>
      </c>
      <c r="F40" s="173">
        <v>4</v>
      </c>
      <c r="G40" s="33"/>
      <c r="H40" s="2"/>
      <c r="I40" s="171">
        <v>4</v>
      </c>
      <c r="J40" s="2"/>
      <c r="K40" s="2"/>
      <c r="L40" s="2"/>
      <c r="M40" s="306"/>
      <c r="N40" s="307"/>
      <c r="O40" s="164" t="str">
        <f>VLOOKUP(D40,숨김!$B$3:$E$300,4,0)</f>
        <v>성취도 5단계+석차등급O</v>
      </c>
    </row>
    <row r="41" spans="1:15" ht="16.5" customHeight="1">
      <c r="A41" s="304"/>
      <c r="B41" s="254"/>
      <c r="C41" s="162" t="str">
        <f>VLOOKUP(D41,숨김!$B$3:$E$300,2,0)</f>
        <v>융합</v>
      </c>
      <c r="D41" s="2" t="s">
        <v>447</v>
      </c>
      <c r="E41" s="169">
        <f>VLOOKUP(D41,숨김!$B$3:$E$300,3,0)</f>
        <v>4</v>
      </c>
      <c r="F41" s="173">
        <v>4</v>
      </c>
      <c r="G41" s="33"/>
      <c r="H41" s="2"/>
      <c r="I41" s="171"/>
      <c r="J41" s="2"/>
      <c r="K41" s="2"/>
      <c r="L41" s="2"/>
      <c r="M41" s="306"/>
      <c r="N41" s="307"/>
      <c r="O41" s="164" t="str">
        <f>VLOOKUP(D41,숨김!$B$3:$E$300,4,0)</f>
        <v>성취도 5단계+석차등급X</v>
      </c>
    </row>
    <row r="42" spans="1:15" ht="16.5" customHeight="1">
      <c r="A42" s="304"/>
      <c r="B42" s="254"/>
      <c r="C42" s="70" t="str">
        <f>VLOOKUP(D42,숨김!$B$3:$E$300,2,0)</f>
        <v>진로</v>
      </c>
      <c r="D42" s="71" t="s">
        <v>448</v>
      </c>
      <c r="E42" s="71">
        <f>VLOOKUP(D42,숨김!$B$3:$E$300,3,0)</f>
        <v>4</v>
      </c>
      <c r="F42" s="72">
        <v>4</v>
      </c>
      <c r="G42" s="73"/>
      <c r="H42" s="71"/>
      <c r="I42" s="171"/>
      <c r="J42" s="71"/>
      <c r="K42" s="168"/>
      <c r="L42" s="168"/>
      <c r="M42" s="306"/>
      <c r="N42" s="307"/>
      <c r="O42" s="164" t="str">
        <f>VLOOKUP(D42,숨김!$B$3:$E$300,4,0)</f>
        <v>성취도 5단계+석차등급O</v>
      </c>
    </row>
    <row r="43" spans="1:15" ht="16.5" customHeight="1">
      <c r="A43" s="304"/>
      <c r="B43" s="269" t="s">
        <v>449</v>
      </c>
      <c r="C43" s="162" t="str">
        <f>VLOOKUP(D43,숨김!$B$3:$E$300,2,0)</f>
        <v>일반</v>
      </c>
      <c r="D43" s="169" t="s">
        <v>450</v>
      </c>
      <c r="E43" s="169">
        <f>VLOOKUP(D43,숨김!$B$3:$E$300,3,0)</f>
        <v>4</v>
      </c>
      <c r="F43" s="173">
        <v>4</v>
      </c>
      <c r="G43" s="32"/>
      <c r="H43" s="169"/>
      <c r="I43" s="171"/>
      <c r="J43" s="169"/>
      <c r="K43" s="168"/>
      <c r="L43" s="168"/>
      <c r="M43" s="306"/>
      <c r="N43" s="307"/>
      <c r="O43" s="164" t="str">
        <f>VLOOKUP(D43,숨김!$B$3:$E$300,4,0)</f>
        <v>성취도 5단계+석차등급O</v>
      </c>
    </row>
    <row r="44" spans="1:15" ht="16.5" customHeight="1">
      <c r="A44" s="304"/>
      <c r="B44" s="254"/>
      <c r="C44" s="162" t="str">
        <f>VLOOKUP(D44,숨김!$B$3:$E$300,2,0)</f>
        <v>일반</v>
      </c>
      <c r="D44" s="2" t="s">
        <v>451</v>
      </c>
      <c r="E44" s="169">
        <f>VLOOKUP(D44,숨김!$B$3:$E$300,3,0)</f>
        <v>4</v>
      </c>
      <c r="F44" s="173">
        <v>4</v>
      </c>
      <c r="G44" s="33"/>
      <c r="H44" s="2"/>
      <c r="I44" s="171"/>
      <c r="J44" s="169"/>
      <c r="K44" s="168"/>
      <c r="L44" s="168"/>
      <c r="M44" s="306"/>
      <c r="N44" s="307"/>
      <c r="O44" s="164" t="str">
        <f>VLOOKUP(D44,숨김!$B$3:$E$300,4,0)</f>
        <v>성취도 5단계+석차등급O</v>
      </c>
    </row>
    <row r="45" spans="1:15" ht="16.5" customHeight="1">
      <c r="A45" s="304"/>
      <c r="B45" s="310"/>
      <c r="C45" s="162" t="str">
        <f>VLOOKUP(D45,숨김!$B$3:$E$300,2,0)</f>
        <v>일반</v>
      </c>
      <c r="D45" s="2" t="s">
        <v>452</v>
      </c>
      <c r="E45" s="169">
        <f>VLOOKUP(D45,숨김!$B$3:$E$300,3,0)</f>
        <v>4</v>
      </c>
      <c r="F45" s="173">
        <v>4</v>
      </c>
      <c r="G45" s="33"/>
      <c r="H45" s="2"/>
      <c r="I45" s="171"/>
      <c r="J45" s="169"/>
      <c r="K45" s="168"/>
      <c r="L45" s="168"/>
      <c r="M45" s="306"/>
      <c r="N45" s="307"/>
      <c r="O45" s="164" t="str">
        <f>VLOOKUP(D45,숨김!$B$3:$E$300,4,0)</f>
        <v>성취도 5단계+석차등급O</v>
      </c>
    </row>
    <row r="46" spans="1:15" ht="16.5" customHeight="1">
      <c r="A46" s="268"/>
      <c r="B46" s="270"/>
      <c r="C46" s="162" t="str">
        <f>VLOOKUP(D46,숨김!$B$3:$E$300,2,0)</f>
        <v>일반</v>
      </c>
      <c r="D46" s="2" t="s">
        <v>453</v>
      </c>
      <c r="E46" s="169">
        <f>VLOOKUP(D46,숨김!$B$3:$E$300,3,0)</f>
        <v>4</v>
      </c>
      <c r="F46" s="173">
        <v>4</v>
      </c>
      <c r="G46" s="33"/>
      <c r="H46" s="2"/>
      <c r="I46" s="172"/>
      <c r="J46" s="169"/>
      <c r="K46" s="168"/>
      <c r="L46" s="168"/>
      <c r="M46" s="308"/>
      <c r="N46" s="309"/>
      <c r="O46" s="164" t="str">
        <f>VLOOKUP(D46,숨김!$B$3:$E$300,4,0)</f>
        <v>성취도 5단계+석차등급O</v>
      </c>
    </row>
    <row r="47" spans="1:15" ht="16.5" customHeight="1">
      <c r="A47" s="266" t="s">
        <v>43</v>
      </c>
      <c r="B47" s="166" t="s">
        <v>20</v>
      </c>
      <c r="C47" s="162" t="str">
        <f>VLOOKUP(D47,숨김!$B$3:$E$300,2,0)</f>
        <v>진로</v>
      </c>
      <c r="D47" s="2" t="s">
        <v>454</v>
      </c>
      <c r="E47" s="169">
        <f>VLOOKUP(D47,숨김!$B$3:$E$300,3,0)</f>
        <v>4</v>
      </c>
      <c r="F47" s="173">
        <v>4</v>
      </c>
      <c r="G47" s="33"/>
      <c r="H47" s="2"/>
      <c r="I47" s="169"/>
      <c r="J47" s="168">
        <v>4</v>
      </c>
      <c r="K47" s="168"/>
      <c r="L47" s="168"/>
      <c r="M47" s="271">
        <f>SUM(G47:L56)</f>
        <v>12</v>
      </c>
      <c r="N47" s="305"/>
      <c r="O47" s="164" t="str">
        <f>VLOOKUP(D47,숨김!$B$3:$E$300,4,0)</f>
        <v>성취도 5단계+석차등급O</v>
      </c>
    </row>
    <row r="48" spans="1:15" ht="16.5" customHeight="1">
      <c r="A48" s="304"/>
      <c r="B48" s="269" t="s">
        <v>445</v>
      </c>
      <c r="C48" s="162" t="str">
        <f>VLOOKUP(D48,숨김!$B$3:$E$300,2,0)</f>
        <v>일반</v>
      </c>
      <c r="D48" s="2" t="s">
        <v>455</v>
      </c>
      <c r="E48" s="169">
        <f>VLOOKUP(D48,숨김!$B$3:$E$300,3,0)</f>
        <v>4</v>
      </c>
      <c r="F48" s="173">
        <v>4</v>
      </c>
      <c r="G48" s="33"/>
      <c r="H48" s="2"/>
      <c r="I48" s="169"/>
      <c r="J48" s="167">
        <v>4</v>
      </c>
      <c r="K48" s="168"/>
      <c r="L48" s="168"/>
      <c r="M48" s="306"/>
      <c r="N48" s="307"/>
      <c r="O48" s="164" t="str">
        <f>VLOOKUP(D48,숨김!$B$3:$E$300,4,0)</f>
        <v>성취도 5단계+석차등급O</v>
      </c>
    </row>
    <row r="49" spans="1:15" ht="16.5" customHeight="1">
      <c r="A49" s="304"/>
      <c r="B49" s="254"/>
      <c r="C49" s="162" t="str">
        <f>VLOOKUP(D49,숨김!$B$3:$E$300,2,0)</f>
        <v>진로</v>
      </c>
      <c r="D49" s="2" t="s">
        <v>456</v>
      </c>
      <c r="E49" s="169">
        <f>VLOOKUP(D49,숨김!$B$3:$E$300,3,0)</f>
        <v>4</v>
      </c>
      <c r="F49" s="173">
        <v>4</v>
      </c>
      <c r="G49" s="33"/>
      <c r="H49" s="2"/>
      <c r="I49" s="169"/>
      <c r="J49" s="167">
        <v>4</v>
      </c>
      <c r="K49" s="168"/>
      <c r="L49" s="168"/>
      <c r="M49" s="306"/>
      <c r="N49" s="307"/>
      <c r="O49" s="164" t="str">
        <f>VLOOKUP(D49,숨김!$B$3:$E$300,4,0)</f>
        <v>성취도 5단계+석차등급O</v>
      </c>
    </row>
    <row r="50" spans="1:15" ht="16.5" customHeight="1">
      <c r="A50" s="304"/>
      <c r="B50" s="254"/>
      <c r="C50" s="162" t="str">
        <f>VLOOKUP(D50,숨김!$B$3:$E$300,2,0)</f>
        <v>일반</v>
      </c>
      <c r="D50" s="2" t="s">
        <v>457</v>
      </c>
      <c r="E50" s="169">
        <f>VLOOKUP(D50,숨김!$B$3:$E$300,3,0)</f>
        <v>4</v>
      </c>
      <c r="F50" s="173">
        <v>4</v>
      </c>
      <c r="G50" s="33"/>
      <c r="H50" s="2"/>
      <c r="I50" s="169"/>
      <c r="J50" s="167"/>
      <c r="K50" s="168"/>
      <c r="L50" s="168"/>
      <c r="M50" s="306"/>
      <c r="N50" s="307"/>
      <c r="O50" s="164" t="str">
        <f>VLOOKUP(D50,숨김!$B$3:$E$300,4,0)</f>
        <v>성취도 5단계+석차등급O</v>
      </c>
    </row>
    <row r="51" spans="1:15" ht="15.6" customHeight="1">
      <c r="A51" s="304"/>
      <c r="B51" s="310"/>
      <c r="C51" s="162" t="str">
        <f>VLOOKUP(D51,숨김!$B$3:$E$300,2,0)</f>
        <v>융합</v>
      </c>
      <c r="D51" s="2" t="s">
        <v>458</v>
      </c>
      <c r="E51" s="169">
        <f>VLOOKUP(D51,숨김!$B$3:$E$300,3,0)</f>
        <v>4</v>
      </c>
      <c r="F51" s="173">
        <v>4</v>
      </c>
      <c r="G51" s="33"/>
      <c r="H51" s="2"/>
      <c r="I51" s="169"/>
      <c r="J51" s="167"/>
      <c r="K51" s="168"/>
      <c r="L51" s="168"/>
      <c r="M51" s="306"/>
      <c r="N51" s="307"/>
      <c r="O51" s="164" t="str">
        <f>VLOOKUP(D51,숨김!$B$3:$E$300,4,0)</f>
        <v>성취도 5단계+석차등급X</v>
      </c>
    </row>
    <row r="52" spans="1:15" ht="16.5" customHeight="1">
      <c r="A52" s="304"/>
      <c r="B52" s="270"/>
      <c r="C52" s="162" t="str">
        <f>VLOOKUP(D52,숨김!$B$3:$E$300,2,0)</f>
        <v>일반</v>
      </c>
      <c r="D52" s="2" t="s">
        <v>459</v>
      </c>
      <c r="E52" s="169">
        <f>VLOOKUP(D52,숨김!$B$3:$E$300,3,0)</f>
        <v>4</v>
      </c>
      <c r="F52" s="173">
        <v>4</v>
      </c>
      <c r="G52" s="33"/>
      <c r="H52" s="2"/>
      <c r="I52" s="169"/>
      <c r="J52" s="167"/>
      <c r="K52" s="168"/>
      <c r="L52" s="168"/>
      <c r="M52" s="306"/>
      <c r="N52" s="307"/>
      <c r="O52" s="164" t="str">
        <f>VLOOKUP(D52,숨김!$B$3:$E$300,4,0)</f>
        <v>성취도 5단계+석차등급O</v>
      </c>
    </row>
    <row r="53" spans="1:15" ht="16.5" customHeight="1">
      <c r="A53" s="304"/>
      <c r="B53" s="269" t="s">
        <v>449</v>
      </c>
      <c r="C53" s="162" t="str">
        <f>VLOOKUP(D53,숨김!$B$3:$E$300,2,0)</f>
        <v>진로</v>
      </c>
      <c r="D53" s="2" t="s">
        <v>460</v>
      </c>
      <c r="E53" s="169">
        <f>VLOOKUP(D53,숨김!$B$3:$E$300,3,0)</f>
        <v>4</v>
      </c>
      <c r="F53" s="173">
        <v>4</v>
      </c>
      <c r="G53" s="33"/>
      <c r="H53" s="2"/>
      <c r="I53" s="169"/>
      <c r="J53" s="167"/>
      <c r="K53" s="168"/>
      <c r="L53" s="168"/>
      <c r="M53" s="306"/>
      <c r="N53" s="307"/>
      <c r="O53" s="164" t="str">
        <f>VLOOKUP(D53,숨김!$B$3:$E$300,4,0)</f>
        <v>성취도 5단계+석차등급O</v>
      </c>
    </row>
    <row r="54" spans="1:15" ht="16.5" customHeight="1">
      <c r="A54" s="304"/>
      <c r="B54" s="254"/>
      <c r="C54" s="162" t="str">
        <f>VLOOKUP(D54,숨김!$B$3:$E$300,2,0)</f>
        <v>진로</v>
      </c>
      <c r="D54" s="2" t="s">
        <v>461</v>
      </c>
      <c r="E54" s="169">
        <f>VLOOKUP(D54,숨김!$B$3:$E$300,3,0)</f>
        <v>4</v>
      </c>
      <c r="F54" s="173">
        <v>4</v>
      </c>
      <c r="G54" s="33"/>
      <c r="H54" s="2"/>
      <c r="I54" s="169"/>
      <c r="J54" s="167"/>
      <c r="K54" s="168"/>
      <c r="L54" s="168"/>
      <c r="M54" s="306"/>
      <c r="N54" s="307"/>
      <c r="O54" s="164" t="str">
        <f>VLOOKUP(D54,숨김!$B$3:$E$300,4,0)</f>
        <v>성취도 5단계+석차등급O</v>
      </c>
    </row>
    <row r="55" spans="1:15" ht="16.5" customHeight="1">
      <c r="A55" s="304"/>
      <c r="B55" s="310"/>
      <c r="C55" s="162" t="str">
        <f>VLOOKUP(D55,숨김!$B$3:$E$300,2,0)</f>
        <v>진로</v>
      </c>
      <c r="D55" s="2" t="s">
        <v>462</v>
      </c>
      <c r="E55" s="169">
        <f>VLOOKUP(D55,숨김!$B$3:$E$300,3,0)</f>
        <v>4</v>
      </c>
      <c r="F55" s="173">
        <v>4</v>
      </c>
      <c r="G55" s="33"/>
      <c r="H55" s="2"/>
      <c r="I55" s="169"/>
      <c r="J55" s="167"/>
      <c r="K55" s="168"/>
      <c r="L55" s="168"/>
      <c r="M55" s="306"/>
      <c r="N55" s="307"/>
      <c r="O55" s="164" t="str">
        <f>VLOOKUP(D55,숨김!$B$3:$E$300,4,0)</f>
        <v>성취도 5단계+석차등급O</v>
      </c>
    </row>
    <row r="56" spans="1:15" ht="16.5" customHeight="1">
      <c r="A56" s="268"/>
      <c r="B56" s="270"/>
      <c r="C56" s="162" t="str">
        <f>VLOOKUP(D56,숨김!$B$3:$E$300,2,0)</f>
        <v>진로</v>
      </c>
      <c r="D56" s="2" t="s">
        <v>463</v>
      </c>
      <c r="E56" s="169">
        <f>VLOOKUP(D56,숨김!$B$3:$E$300,3,0)</f>
        <v>4</v>
      </c>
      <c r="F56" s="173">
        <v>4</v>
      </c>
      <c r="G56" s="33"/>
      <c r="H56" s="2"/>
      <c r="I56" s="2"/>
      <c r="J56" s="169"/>
      <c r="K56" s="168"/>
      <c r="L56" s="168"/>
      <c r="M56" s="308"/>
      <c r="N56" s="309"/>
      <c r="O56" s="164" t="str">
        <f>VLOOKUP(D56,숨김!$B$3:$E$300,4,0)</f>
        <v>성취도 5단계+석차등급O</v>
      </c>
    </row>
    <row r="57" spans="1:15" ht="16.5" customHeight="1">
      <c r="A57" s="266" t="s">
        <v>44</v>
      </c>
      <c r="B57" s="311" t="s">
        <v>464</v>
      </c>
      <c r="C57" s="162" t="str">
        <f>VLOOKUP(D57,숨김!$B$3:$E$300,2,0)</f>
        <v>일반</v>
      </c>
      <c r="D57" s="169" t="s">
        <v>465</v>
      </c>
      <c r="E57" s="169">
        <f>VLOOKUP(D57,숨김!$B$3:$E$300,3,0)</f>
        <v>4</v>
      </c>
      <c r="F57" s="173">
        <v>3</v>
      </c>
      <c r="G57" s="33"/>
      <c r="H57" s="2"/>
      <c r="I57" s="168">
        <v>3</v>
      </c>
      <c r="J57" s="2"/>
      <c r="K57" s="168"/>
      <c r="L57" s="168"/>
      <c r="M57" s="271">
        <f>SUM(G57:L58)</f>
        <v>3</v>
      </c>
      <c r="N57" s="305"/>
      <c r="O57" s="164" t="str">
        <f>VLOOKUP(D57,숨김!$B$3:$E$300,4,0)</f>
        <v>성취도 5단계+석차등급O</v>
      </c>
    </row>
    <row r="58" spans="1:15" ht="16.5" customHeight="1">
      <c r="A58" s="268"/>
      <c r="B58" s="312"/>
      <c r="C58" s="162" t="str">
        <f>VLOOKUP(D58,숨김!$B$3:$E$300,2,0)</f>
        <v>일반</v>
      </c>
      <c r="D58" s="169" t="s">
        <v>466</v>
      </c>
      <c r="E58" s="169">
        <f>VLOOKUP(D58,숨김!$B$3:$E$300,3,0)</f>
        <v>4</v>
      </c>
      <c r="F58" s="173">
        <v>3</v>
      </c>
      <c r="G58" s="33"/>
      <c r="H58" s="2"/>
      <c r="I58" s="169"/>
      <c r="J58" s="2"/>
      <c r="K58" s="168"/>
      <c r="L58" s="168"/>
      <c r="M58" s="306"/>
      <c r="N58" s="307"/>
      <c r="O58" s="164" t="str">
        <f>VLOOKUP(D58,숨김!$B$3:$E$300,4,0)</f>
        <v>성취도 5단계+석차등급O</v>
      </c>
    </row>
    <row r="59" spans="1:15" ht="16.5" customHeight="1">
      <c r="A59" s="266" t="s">
        <v>45</v>
      </c>
      <c r="B59" s="311" t="s">
        <v>464</v>
      </c>
      <c r="C59" s="162" t="str">
        <f>VLOOKUP(D59,숨김!$B$3:$E$300,2,0)</f>
        <v>진로</v>
      </c>
      <c r="D59" s="169" t="s">
        <v>467</v>
      </c>
      <c r="E59" s="169">
        <f>VLOOKUP(D59,숨김!$B$3:$E$300,3,0)</f>
        <v>4</v>
      </c>
      <c r="F59" s="173">
        <v>3</v>
      </c>
      <c r="G59" s="33"/>
      <c r="H59" s="2"/>
      <c r="I59" s="2"/>
      <c r="J59" s="168">
        <v>3</v>
      </c>
      <c r="K59" s="168"/>
      <c r="L59" s="168"/>
      <c r="M59" s="271">
        <f>SUM(G59:L60)</f>
        <v>3</v>
      </c>
      <c r="N59" s="305"/>
      <c r="O59" s="164" t="str">
        <f>VLOOKUP(D59,숨김!$B$3:$E$300,4,0)</f>
        <v>성취도 5단계+석차등급O</v>
      </c>
    </row>
    <row r="60" spans="1:15" ht="16.5" customHeight="1">
      <c r="A60" s="268"/>
      <c r="B60" s="312"/>
      <c r="C60" s="162" t="str">
        <f>VLOOKUP(D60,숨김!$B$3:$E$300,2,0)</f>
        <v>진로</v>
      </c>
      <c r="D60" s="169" t="s">
        <v>468</v>
      </c>
      <c r="E60" s="169">
        <f>VLOOKUP(D60,숨김!$B$3:$E$300,3,0)</f>
        <v>4</v>
      </c>
      <c r="F60" s="173">
        <v>3</v>
      </c>
      <c r="G60" s="33"/>
      <c r="H60" s="2"/>
      <c r="I60" s="2"/>
      <c r="J60" s="75"/>
      <c r="K60" s="168"/>
      <c r="L60" s="168"/>
      <c r="M60" s="306"/>
      <c r="N60" s="307"/>
      <c r="O60" s="164" t="str">
        <f>VLOOKUP(D60,숨김!$B$3:$E$300,4,0)</f>
        <v>성취도 5단계+석차등급O</v>
      </c>
    </row>
    <row r="61" spans="1:15" ht="16.5" customHeight="1">
      <c r="A61" s="266" t="s">
        <v>46</v>
      </c>
      <c r="B61" s="166" t="s">
        <v>20</v>
      </c>
      <c r="C61" s="162" t="str">
        <f>VLOOKUP(D61,숨김!$B$3:$E$300,2,0)</f>
        <v>진로</v>
      </c>
      <c r="D61" s="2" t="s">
        <v>469</v>
      </c>
      <c r="E61" s="169">
        <f>VLOOKUP(D61,숨김!$B$3:$E$300,3,0)</f>
        <v>4</v>
      </c>
      <c r="F61" s="173">
        <v>3</v>
      </c>
      <c r="G61" s="33"/>
      <c r="H61" s="2"/>
      <c r="I61" s="2"/>
      <c r="J61" s="2"/>
      <c r="K61" s="168">
        <v>3</v>
      </c>
      <c r="L61" s="2"/>
      <c r="M61" s="271">
        <f>SUM(G61:L75)</f>
        <v>9</v>
      </c>
      <c r="N61" s="272"/>
      <c r="O61" s="164" t="str">
        <f>VLOOKUP(D61,숨김!$B$3:$E$300,4,0)</f>
        <v>성취도 5단계+석차등급O</v>
      </c>
    </row>
    <row r="62" spans="1:15" ht="16.5" customHeight="1">
      <c r="A62" s="304"/>
      <c r="B62" s="269" t="s">
        <v>445</v>
      </c>
      <c r="C62" s="162" t="str">
        <f>VLOOKUP(D62,숨김!$B$3:$E$300,2,0)</f>
        <v>융합</v>
      </c>
      <c r="D62" s="2" t="s">
        <v>470</v>
      </c>
      <c r="E62" s="169">
        <f>VLOOKUP(D62,숨김!$B$3:$E$300,3,0)</f>
        <v>4</v>
      </c>
      <c r="F62" s="173">
        <v>3</v>
      </c>
      <c r="G62" s="33"/>
      <c r="H62" s="2"/>
      <c r="I62" s="2"/>
      <c r="J62" s="2"/>
      <c r="K62" s="167">
        <v>3</v>
      </c>
      <c r="L62" s="2"/>
      <c r="M62" s="313"/>
      <c r="N62" s="274"/>
      <c r="O62" s="164" t="str">
        <f>VLOOKUP(D62,숨김!$B$3:$E$300,4,0)</f>
        <v>성취도 5단계+석차등급X</v>
      </c>
    </row>
    <row r="63" spans="1:15" ht="16.5" customHeight="1">
      <c r="A63" s="304"/>
      <c r="B63" s="254"/>
      <c r="C63" s="162" t="str">
        <f>VLOOKUP(D63,숨김!$B$3:$E$300,2,0)</f>
        <v>진로</v>
      </c>
      <c r="D63" s="2" t="s">
        <v>471</v>
      </c>
      <c r="E63" s="169">
        <f>VLOOKUP(D63,숨김!$B$3:$E$300,3,0)</f>
        <v>4</v>
      </c>
      <c r="F63" s="173">
        <v>3</v>
      </c>
      <c r="G63" s="33"/>
      <c r="H63" s="2"/>
      <c r="I63" s="2"/>
      <c r="J63" s="2"/>
      <c r="K63" s="167">
        <v>3</v>
      </c>
      <c r="L63" s="2"/>
      <c r="M63" s="313"/>
      <c r="N63" s="274"/>
      <c r="O63" s="164" t="str">
        <f>VLOOKUP(D63,숨김!$B$3:$E$300,4,0)</f>
        <v>성취도 5단계+석차등급O</v>
      </c>
    </row>
    <row r="64" spans="1:15" ht="16.2" customHeight="1">
      <c r="A64" s="304"/>
      <c r="B64" s="254"/>
      <c r="C64" s="162" t="str">
        <f>VLOOKUP(D64,숨김!$B$3:$E$300,2,0)</f>
        <v>진로</v>
      </c>
      <c r="D64" s="2" t="s">
        <v>472</v>
      </c>
      <c r="E64" s="169">
        <f>VLOOKUP(D64,숨김!$B$3:$E$300,3,0)</f>
        <v>4</v>
      </c>
      <c r="F64" s="173">
        <v>3</v>
      </c>
      <c r="G64" s="33"/>
      <c r="H64" s="2"/>
      <c r="I64" s="2"/>
      <c r="J64" s="2"/>
      <c r="K64" s="167"/>
      <c r="L64" s="2"/>
      <c r="M64" s="313"/>
      <c r="N64" s="274"/>
      <c r="O64" s="164" t="str">
        <f>VLOOKUP(D64,숨김!$B$3:$E$300,4,0)</f>
        <v>성취도 5단계+석차등급O</v>
      </c>
    </row>
    <row r="65" spans="1:15" ht="16.2" customHeight="1">
      <c r="A65" s="304"/>
      <c r="B65" s="310"/>
      <c r="C65" s="162" t="str">
        <f>VLOOKUP(D65,숨김!$B$3:$E$300,2,0)</f>
        <v>융합</v>
      </c>
      <c r="D65" s="2" t="s">
        <v>473</v>
      </c>
      <c r="E65" s="169">
        <f>VLOOKUP(D65,숨김!$B$3:$E$300,3,0)</f>
        <v>4</v>
      </c>
      <c r="F65" s="173">
        <v>3</v>
      </c>
      <c r="G65" s="33"/>
      <c r="H65" s="2"/>
      <c r="I65" s="2"/>
      <c r="J65" s="2"/>
      <c r="K65" s="167"/>
      <c r="L65" s="2"/>
      <c r="M65" s="313"/>
      <c r="N65" s="274"/>
      <c r="O65" s="164" t="str">
        <f>VLOOKUP(D65,숨김!$B$3:$E$300,4,0)</f>
        <v>성취도 5단계+석차등급X</v>
      </c>
    </row>
    <row r="66" spans="1:15" ht="16.5" customHeight="1">
      <c r="A66" s="304"/>
      <c r="B66" s="270"/>
      <c r="C66" s="162" t="str">
        <f>VLOOKUP(D66,숨김!$B$3:$E$300,2,0)</f>
        <v>진로</v>
      </c>
      <c r="D66" s="2" t="s">
        <v>474</v>
      </c>
      <c r="E66" s="169">
        <f>VLOOKUP(D66,숨김!$B$3:$E$300,3,0)</f>
        <v>4</v>
      </c>
      <c r="F66" s="173">
        <v>3</v>
      </c>
      <c r="G66" s="33"/>
      <c r="H66" s="2"/>
      <c r="I66" s="2"/>
      <c r="J66" s="2"/>
      <c r="K66" s="167"/>
      <c r="L66" s="2"/>
      <c r="M66" s="313"/>
      <c r="N66" s="274"/>
      <c r="O66" s="164" t="str">
        <f>VLOOKUP(D66,숨김!$B$3:$E$300,4,0)</f>
        <v>성취도 5단계+석차등급O</v>
      </c>
    </row>
    <row r="67" spans="1:15" ht="16.2" customHeight="1">
      <c r="A67" s="304"/>
      <c r="B67" s="269" t="s">
        <v>449</v>
      </c>
      <c r="C67" s="162" t="str">
        <f>VLOOKUP(D67,숨김!$B$3:$E$300,2,0)</f>
        <v>진로</v>
      </c>
      <c r="D67" s="2" t="s">
        <v>475</v>
      </c>
      <c r="E67" s="169">
        <f>VLOOKUP(D67,숨김!$B$3:$E$300,3,0)</f>
        <v>4</v>
      </c>
      <c r="F67" s="173">
        <v>3</v>
      </c>
      <c r="G67" s="33"/>
      <c r="H67" s="2"/>
      <c r="I67" s="2"/>
      <c r="J67" s="2"/>
      <c r="K67" s="167"/>
      <c r="L67" s="2"/>
      <c r="M67" s="313"/>
      <c r="N67" s="274"/>
      <c r="O67" s="164" t="str">
        <f>VLOOKUP(D67,숨김!$B$3:$E$300,4,0)</f>
        <v>성취도 5단계+석차등급O</v>
      </c>
    </row>
    <row r="68" spans="1:15" ht="16.2" customHeight="1">
      <c r="A68" s="304"/>
      <c r="B68" s="254"/>
      <c r="C68" s="162" t="str">
        <f>VLOOKUP(D68,숨김!$B$3:$E$300,2,0)</f>
        <v>진로</v>
      </c>
      <c r="D68" s="2" t="s">
        <v>476</v>
      </c>
      <c r="E68" s="169">
        <f>VLOOKUP(D68,숨김!$B$3:$E$300,3,0)</f>
        <v>4</v>
      </c>
      <c r="F68" s="173">
        <v>3</v>
      </c>
      <c r="G68" s="33"/>
      <c r="H68" s="2"/>
      <c r="I68" s="2"/>
      <c r="J68" s="2"/>
      <c r="K68" s="167"/>
      <c r="L68" s="2"/>
      <c r="M68" s="313"/>
      <c r="N68" s="274"/>
      <c r="O68" s="164" t="str">
        <f>VLOOKUP(D68,숨김!$B$3:$E$300,4,0)</f>
        <v>성취도 5단계+석차등급O</v>
      </c>
    </row>
    <row r="69" spans="1:15" ht="16.2" customHeight="1">
      <c r="A69" s="304"/>
      <c r="B69" s="254"/>
      <c r="C69" s="162" t="str">
        <f>VLOOKUP(D69,숨김!$B$3:$E$300,2,0)</f>
        <v>진로</v>
      </c>
      <c r="D69" s="2" t="s">
        <v>477</v>
      </c>
      <c r="E69" s="169">
        <f>VLOOKUP(D69,숨김!$B$3:$E$300,3,0)</f>
        <v>4</v>
      </c>
      <c r="F69" s="173">
        <v>3</v>
      </c>
      <c r="G69" s="33"/>
      <c r="H69" s="2"/>
      <c r="I69" s="2"/>
      <c r="J69" s="2"/>
      <c r="K69" s="167"/>
      <c r="L69" s="2"/>
      <c r="M69" s="313"/>
      <c r="N69" s="274"/>
      <c r="O69" s="164" t="str">
        <f>VLOOKUP(D69,숨김!$B$3:$E$300,4,0)</f>
        <v>성취도 5단계+석차등급O</v>
      </c>
    </row>
    <row r="70" spans="1:15" ht="16.2" customHeight="1">
      <c r="A70" s="304"/>
      <c r="B70" s="254"/>
      <c r="C70" s="186" t="s">
        <v>37</v>
      </c>
      <c r="D70" s="2" t="s">
        <v>478</v>
      </c>
      <c r="E70" s="184">
        <v>4</v>
      </c>
      <c r="F70" s="185">
        <v>3</v>
      </c>
      <c r="G70" s="33"/>
      <c r="H70" s="2"/>
      <c r="I70" s="2"/>
      <c r="J70" s="2"/>
      <c r="K70" s="183"/>
      <c r="L70" s="2"/>
      <c r="M70" s="313"/>
      <c r="N70" s="274"/>
      <c r="O70" s="187" t="s">
        <v>17</v>
      </c>
    </row>
    <row r="71" spans="1:15" ht="16.2" customHeight="1">
      <c r="A71" s="304"/>
      <c r="B71" s="270"/>
      <c r="C71" s="162" t="s">
        <v>38</v>
      </c>
      <c r="D71" s="2" t="s">
        <v>504</v>
      </c>
      <c r="E71" s="169">
        <f>VLOOKUP(D71,숨김!$B$3:$E$300,3,0)</f>
        <v>4</v>
      </c>
      <c r="F71" s="173">
        <v>3</v>
      </c>
      <c r="G71" s="33"/>
      <c r="H71" s="2"/>
      <c r="I71" s="2"/>
      <c r="J71" s="2"/>
      <c r="K71" s="167"/>
      <c r="L71" s="2"/>
      <c r="M71" s="313"/>
      <c r="N71" s="274"/>
      <c r="O71" s="164" t="str">
        <f>VLOOKUP(D71,숨김!$B$3:$E$300,4,0)</f>
        <v>성취도 5단계+석차등급X</v>
      </c>
    </row>
    <row r="72" spans="1:15" ht="16.5" customHeight="1">
      <c r="A72" s="304"/>
      <c r="B72" s="2" t="s">
        <v>39</v>
      </c>
      <c r="C72" s="162" t="str">
        <f>VLOOKUP(D72,숨김!$B$3:$E$300,2,0)</f>
        <v>융합</v>
      </c>
      <c r="D72" s="169" t="s">
        <v>479</v>
      </c>
      <c r="E72" s="169">
        <f>VLOOKUP(D72,숨김!$B$3:$E$300,3,0)</f>
        <v>4</v>
      </c>
      <c r="F72" s="173">
        <v>3</v>
      </c>
      <c r="G72" s="33"/>
      <c r="H72" s="2"/>
      <c r="I72" s="2"/>
      <c r="J72" s="2"/>
      <c r="K72" s="167"/>
      <c r="L72" s="2"/>
      <c r="M72" s="313"/>
      <c r="N72" s="274"/>
      <c r="O72" s="164" t="str">
        <f>VLOOKUP(D72,숨김!$B$3:$E$300,4,0)</f>
        <v>성취도 5단계+석차등급O</v>
      </c>
    </row>
    <row r="73" spans="1:15" ht="16.5" customHeight="1">
      <c r="A73" s="304"/>
      <c r="B73" s="2" t="s">
        <v>40</v>
      </c>
      <c r="C73" s="162" t="str">
        <f>VLOOKUP(D73,숨김!$B$3:$E$300,2,0)</f>
        <v>진로</v>
      </c>
      <c r="D73" s="169" t="s">
        <v>480</v>
      </c>
      <c r="E73" s="169">
        <f>VLOOKUP(D73,숨김!$B$3:$E$300,3,0)</f>
        <v>4</v>
      </c>
      <c r="F73" s="173">
        <v>3</v>
      </c>
      <c r="G73" s="33"/>
      <c r="H73" s="2"/>
      <c r="I73" s="2"/>
      <c r="J73" s="2"/>
      <c r="K73" s="167"/>
      <c r="L73" s="2"/>
      <c r="M73" s="313"/>
      <c r="N73" s="274"/>
      <c r="O73" s="164" t="str">
        <f>VLOOKUP(D73,숨김!$B$3:$E$300,4,0)</f>
        <v>성취도 5단계+석차등급O</v>
      </c>
    </row>
    <row r="74" spans="1:15" ht="16.5" customHeight="1">
      <c r="A74" s="304"/>
      <c r="B74" s="253" t="s">
        <v>464</v>
      </c>
      <c r="C74" s="162" t="str">
        <f>VLOOKUP(D74,숨김!$B$3:$E$300,2,0)</f>
        <v>융합</v>
      </c>
      <c r="D74" s="169" t="s">
        <v>481</v>
      </c>
      <c r="E74" s="169">
        <f>VLOOKUP(D74,숨김!$B$3:$E$300,3,0)</f>
        <v>4</v>
      </c>
      <c r="F74" s="173">
        <v>3</v>
      </c>
      <c r="G74" s="33"/>
      <c r="H74" s="2"/>
      <c r="I74" s="2"/>
      <c r="J74" s="2"/>
      <c r="K74" s="167"/>
      <c r="L74" s="2"/>
      <c r="M74" s="313"/>
      <c r="N74" s="274"/>
      <c r="O74" s="164" t="str">
        <f>VLOOKUP(D74,숨김!$B$3:$E$300,4,0)</f>
        <v>성취도 5단계+석차등급O</v>
      </c>
    </row>
    <row r="75" spans="1:15" ht="16.5" customHeight="1">
      <c r="A75" s="268"/>
      <c r="B75" s="255"/>
      <c r="C75" s="162" t="str">
        <f>VLOOKUP(D75,숨김!$B$3:$E$300,2,0)</f>
        <v>융합</v>
      </c>
      <c r="D75" s="2" t="s">
        <v>482</v>
      </c>
      <c r="E75" s="169">
        <f>VLOOKUP(D75,숨김!$B$3:$E$300,3,0)</f>
        <v>4</v>
      </c>
      <c r="F75" s="173">
        <v>3</v>
      </c>
      <c r="G75" s="33"/>
      <c r="H75" s="2"/>
      <c r="I75" s="2"/>
      <c r="J75" s="2"/>
      <c r="K75" s="169"/>
      <c r="L75" s="2"/>
      <c r="M75" s="292"/>
      <c r="N75" s="293"/>
      <c r="O75" s="164" t="str">
        <f>VLOOKUP(D75,숨김!$B$3:$E$300,4,0)</f>
        <v>성취도 5단계+석차등급O</v>
      </c>
    </row>
    <row r="76" spans="1:15" ht="16.5" customHeight="1">
      <c r="A76" s="266" t="s">
        <v>48</v>
      </c>
      <c r="B76" s="269" t="s">
        <v>483</v>
      </c>
      <c r="C76" s="162" t="str">
        <f>VLOOKUP(D76,숨김!$B$3:$E$300,2,0)</f>
        <v>진로</v>
      </c>
      <c r="D76" s="2" t="s">
        <v>485</v>
      </c>
      <c r="E76" s="169">
        <f>VLOOKUP(D76,숨김!$B$3:$E$300,3,0)</f>
        <v>3</v>
      </c>
      <c r="F76" s="173">
        <v>3</v>
      </c>
      <c r="G76" s="33"/>
      <c r="H76" s="2"/>
      <c r="I76" s="2"/>
      <c r="J76" s="2"/>
      <c r="K76" s="168">
        <v>3</v>
      </c>
      <c r="L76" s="2"/>
      <c r="M76" s="271">
        <f>SUM(G76:L77)</f>
        <v>3</v>
      </c>
      <c r="N76" s="272"/>
      <c r="O76" s="164" t="str">
        <f>VLOOKUP(D76,숨김!$B$3:$E$300,4,0)</f>
        <v>성취도 3단계</v>
      </c>
    </row>
    <row r="77" spans="1:15" ht="16.5" customHeight="1">
      <c r="A77" s="268"/>
      <c r="B77" s="270"/>
      <c r="C77" s="162" t="str">
        <f>VLOOKUP(D77,숨김!$B$3:$E$300,2,0)</f>
        <v>융합</v>
      </c>
      <c r="D77" s="2" t="s">
        <v>486</v>
      </c>
      <c r="E77" s="169">
        <f>VLOOKUP(D77,숨김!$B$3:$E$300,3,0)</f>
        <v>3</v>
      </c>
      <c r="F77" s="173">
        <v>3</v>
      </c>
      <c r="G77" s="33"/>
      <c r="H77" s="2"/>
      <c r="I77" s="2"/>
      <c r="J77" s="2"/>
      <c r="K77" s="169"/>
      <c r="L77" s="2"/>
      <c r="M77" s="292"/>
      <c r="N77" s="293"/>
      <c r="O77" s="164" t="str">
        <f>VLOOKUP(D77,숨김!$B$3:$E$300,4,0)</f>
        <v>성취도 3단계</v>
      </c>
    </row>
    <row r="78" spans="1:15" ht="16.5" customHeight="1">
      <c r="A78" s="266" t="s">
        <v>49</v>
      </c>
      <c r="B78" s="269" t="s">
        <v>484</v>
      </c>
      <c r="C78" s="162" t="str">
        <f>VLOOKUP(D78,숨김!$B$3:$E$300,2,0)</f>
        <v>진로</v>
      </c>
      <c r="D78" s="168" t="s">
        <v>487</v>
      </c>
      <c r="E78" s="169">
        <f>VLOOKUP(D78,숨김!$B$3:$E$300,3,0)</f>
        <v>3</v>
      </c>
      <c r="F78" s="173">
        <v>2</v>
      </c>
      <c r="G78" s="33"/>
      <c r="H78" s="2"/>
      <c r="I78" s="2"/>
      <c r="J78" s="2"/>
      <c r="K78" s="168">
        <v>2</v>
      </c>
      <c r="L78" s="6"/>
      <c r="M78" s="271">
        <f>SUM(G78:L80)</f>
        <v>2</v>
      </c>
      <c r="N78" s="272"/>
      <c r="O78" s="164" t="str">
        <f>VLOOKUP(D78,숨김!$B$3:$E$300,4,0)</f>
        <v>이수/미이수</v>
      </c>
    </row>
    <row r="79" spans="1:15" ht="16.5" customHeight="1">
      <c r="A79" s="267"/>
      <c r="B79" s="254"/>
      <c r="C79" s="162" t="str">
        <f>VLOOKUP(D79,숨김!$B$3:$E$300,2,0)</f>
        <v>일반</v>
      </c>
      <c r="D79" s="168" t="s">
        <v>488</v>
      </c>
      <c r="E79" s="169">
        <f>VLOOKUP(D79,숨김!$B$3:$E$300,3,0)</f>
        <v>3</v>
      </c>
      <c r="F79" s="173">
        <v>2</v>
      </c>
      <c r="G79" s="33"/>
      <c r="H79" s="2"/>
      <c r="I79" s="168"/>
      <c r="J79" s="168"/>
      <c r="K79" s="167"/>
      <c r="L79" s="160"/>
      <c r="M79" s="273"/>
      <c r="N79" s="274"/>
      <c r="O79" s="164" t="str">
        <f>VLOOKUP(D79,숨김!$B$3:$E$300,4,0)</f>
        <v>이수/미이수</v>
      </c>
    </row>
    <row r="80" spans="1:15" ht="16.5" customHeight="1">
      <c r="A80" s="268"/>
      <c r="B80" s="270"/>
      <c r="C80" s="162" t="str">
        <f>VLOOKUP(D80,숨김!$B$3:$E$300,2,0)</f>
        <v>진로</v>
      </c>
      <c r="D80" s="168" t="s">
        <v>489</v>
      </c>
      <c r="E80" s="169">
        <f>VLOOKUP(D80,숨김!$B$3:$E$300,3,0)</f>
        <v>3</v>
      </c>
      <c r="F80" s="173">
        <v>2</v>
      </c>
      <c r="G80" s="33"/>
      <c r="H80" s="2"/>
      <c r="I80" s="168"/>
      <c r="J80" s="168"/>
      <c r="K80" s="169"/>
      <c r="L80" s="160"/>
      <c r="M80" s="292"/>
      <c r="N80" s="293"/>
      <c r="O80" s="164" t="str">
        <f>VLOOKUP(D80,숨김!$B$3:$E$300,4,0)</f>
        <v>이수/미이수</v>
      </c>
    </row>
    <row r="81" spans="1:15" ht="16.5" customHeight="1">
      <c r="A81" s="294" t="s">
        <v>51</v>
      </c>
      <c r="B81" s="269" t="s">
        <v>14</v>
      </c>
      <c r="C81" s="162" t="str">
        <f>VLOOKUP(D81,숨김!$B$3:$E$300,2,0)</f>
        <v>진로</v>
      </c>
      <c r="D81" s="2" t="s">
        <v>490</v>
      </c>
      <c r="E81" s="169">
        <f>VLOOKUP(D81,숨김!$B$3:$E$300,3,0)</f>
        <v>4</v>
      </c>
      <c r="F81" s="173">
        <v>4</v>
      </c>
      <c r="G81" s="33"/>
      <c r="H81" s="2"/>
      <c r="I81" s="168"/>
      <c r="J81" s="168"/>
      <c r="K81" s="2"/>
      <c r="L81" s="168">
        <v>4</v>
      </c>
      <c r="M81" s="271">
        <f>SUM(G81:L86)</f>
        <v>12</v>
      </c>
      <c r="N81" s="297"/>
      <c r="O81" s="164" t="str">
        <f>VLOOKUP(D81,숨김!$B$3:$E$300,4,0)</f>
        <v>성취도 5단계+석차등급O</v>
      </c>
    </row>
    <row r="82" spans="1:15" ht="16.5" customHeight="1">
      <c r="A82" s="295"/>
      <c r="B82" s="270"/>
      <c r="C82" s="162" t="str">
        <f>VLOOKUP(D82,숨김!$B$3:$E$300,2,0)</f>
        <v>진로</v>
      </c>
      <c r="D82" s="2" t="s">
        <v>491</v>
      </c>
      <c r="E82" s="169">
        <f>VLOOKUP(D82,숨김!$B$3:$E$300,3,0)</f>
        <v>4</v>
      </c>
      <c r="F82" s="173">
        <v>4</v>
      </c>
      <c r="G82" s="33"/>
      <c r="H82" s="2"/>
      <c r="I82" s="168"/>
      <c r="J82" s="168"/>
      <c r="K82" s="2"/>
      <c r="L82" s="167">
        <v>4</v>
      </c>
      <c r="M82" s="273"/>
      <c r="N82" s="298"/>
      <c r="O82" s="164" t="str">
        <f>VLOOKUP(D82,숨김!$B$3:$E$300,4,0)</f>
        <v>성취도 5단계+석차등급O</v>
      </c>
    </row>
    <row r="83" spans="1:15" ht="16.5" customHeight="1">
      <c r="A83" s="295"/>
      <c r="B83" s="269" t="s">
        <v>20</v>
      </c>
      <c r="C83" s="162" t="str">
        <f>VLOOKUP(D83,숨김!$B$3:$E$300,2,0)</f>
        <v>융합</v>
      </c>
      <c r="D83" s="2" t="s">
        <v>492</v>
      </c>
      <c r="E83" s="169">
        <f>VLOOKUP(D83,숨김!$B$3:$E$300,3,0)</f>
        <v>4</v>
      </c>
      <c r="F83" s="173">
        <v>4</v>
      </c>
      <c r="G83" s="33"/>
      <c r="H83" s="2"/>
      <c r="I83" s="168"/>
      <c r="J83" s="168"/>
      <c r="K83" s="2"/>
      <c r="L83" s="167">
        <v>4</v>
      </c>
      <c r="M83" s="273"/>
      <c r="N83" s="298"/>
      <c r="O83" s="164" t="str">
        <f>VLOOKUP(D83,숨김!$B$3:$E$300,4,0)</f>
        <v>성취도 5단계+석차등급O</v>
      </c>
    </row>
    <row r="84" spans="1:15" ht="16.5" customHeight="1">
      <c r="A84" s="295"/>
      <c r="B84" s="270"/>
      <c r="C84" s="162" t="str">
        <f>VLOOKUP(D84,숨김!$B$3:$E$300,2,0)</f>
        <v>융합</v>
      </c>
      <c r="D84" s="2" t="s">
        <v>493</v>
      </c>
      <c r="E84" s="169">
        <f>VLOOKUP(D84,숨김!$B$3:$E$300,3,0)</f>
        <v>4</v>
      </c>
      <c r="F84" s="173">
        <v>4</v>
      </c>
      <c r="G84" s="33"/>
      <c r="H84" s="2"/>
      <c r="I84" s="168"/>
      <c r="J84" s="168"/>
      <c r="K84" s="2"/>
      <c r="L84" s="167"/>
      <c r="M84" s="273"/>
      <c r="N84" s="298"/>
      <c r="O84" s="164" t="str">
        <f>VLOOKUP(D84,숨김!$B$3:$E$300,4,0)</f>
        <v>성취도 5단계+석차등급O</v>
      </c>
    </row>
    <row r="85" spans="1:15" ht="16.5" customHeight="1">
      <c r="A85" s="295"/>
      <c r="B85" s="269" t="s">
        <v>23</v>
      </c>
      <c r="C85" s="162" t="str">
        <f>VLOOKUP(D85,숨김!$B$3:$E$300,2,0)</f>
        <v>진로</v>
      </c>
      <c r="D85" s="2" t="s">
        <v>494</v>
      </c>
      <c r="E85" s="169">
        <f>VLOOKUP(D85,숨김!$B$3:$E$300,3,0)</f>
        <v>4</v>
      </c>
      <c r="F85" s="173">
        <v>4</v>
      </c>
      <c r="G85" s="33"/>
      <c r="H85" s="2"/>
      <c r="I85" s="168"/>
      <c r="J85" s="168"/>
      <c r="K85" s="2"/>
      <c r="L85" s="167"/>
      <c r="M85" s="273"/>
      <c r="N85" s="298"/>
      <c r="O85" s="164" t="str">
        <f>VLOOKUP(D85,숨김!$B$3:$E$300,4,0)</f>
        <v>성취도 5단계+석차등급O</v>
      </c>
    </row>
    <row r="86" spans="1:15" ht="16.5" customHeight="1">
      <c r="A86" s="296"/>
      <c r="B86" s="270"/>
      <c r="C86" s="162" t="str">
        <f>VLOOKUP(D86,숨김!$B$3:$E$300,2,0)</f>
        <v>융합</v>
      </c>
      <c r="D86" s="2" t="s">
        <v>495</v>
      </c>
      <c r="E86" s="169">
        <f>VLOOKUP(D86,숨김!$B$3:$E$300,3,0)</f>
        <v>4</v>
      </c>
      <c r="F86" s="173">
        <v>4</v>
      </c>
      <c r="G86" s="33"/>
      <c r="H86" s="2"/>
      <c r="I86" s="168"/>
      <c r="J86" s="168"/>
      <c r="K86" s="2"/>
      <c r="L86" s="169"/>
      <c r="M86" s="299"/>
      <c r="N86" s="300"/>
      <c r="O86" s="164" t="str">
        <f>VLOOKUP(D86,숨김!$B$3:$E$300,4,0)</f>
        <v>성취도 5단계+석차등급O</v>
      </c>
    </row>
    <row r="87" spans="1:15" ht="16.5" customHeight="1">
      <c r="A87" s="266" t="s">
        <v>496</v>
      </c>
      <c r="B87" s="301" t="s">
        <v>445</v>
      </c>
      <c r="C87" s="162" t="str">
        <f>VLOOKUP(D87,숨김!$B$3:$E$300,2,0)</f>
        <v>진로</v>
      </c>
      <c r="D87" s="2" t="s">
        <v>499</v>
      </c>
      <c r="E87" s="169">
        <f>VLOOKUP(D87,숨김!$B$3:$E$300,3,0)</f>
        <v>4</v>
      </c>
      <c r="F87" s="173">
        <v>3</v>
      </c>
      <c r="G87" s="33"/>
      <c r="H87" s="2"/>
      <c r="I87" s="168"/>
      <c r="J87" s="168"/>
      <c r="K87" s="2"/>
      <c r="L87" s="168">
        <v>3</v>
      </c>
      <c r="M87" s="271">
        <f>SUM(G87:L95)</f>
        <v>9</v>
      </c>
      <c r="N87" s="297"/>
      <c r="O87" s="164" t="str">
        <f>VLOOKUP(D87,숨김!$B$3:$E$300,4,0)</f>
        <v>성취도 5단계+석차등급O</v>
      </c>
    </row>
    <row r="88" spans="1:15" ht="16.5" customHeight="1">
      <c r="A88" s="267"/>
      <c r="B88" s="302"/>
      <c r="C88" s="162" t="str">
        <f>VLOOKUP(D88,숨김!$B$3:$E$300,2,0)</f>
        <v>융합</v>
      </c>
      <c r="D88" s="2" t="s">
        <v>500</v>
      </c>
      <c r="E88" s="169">
        <f>VLOOKUP(D88,숨김!$B$3:$E$300,3,0)</f>
        <v>4</v>
      </c>
      <c r="F88" s="173">
        <v>3</v>
      </c>
      <c r="G88" s="33"/>
      <c r="H88" s="2"/>
      <c r="I88" s="168"/>
      <c r="J88" s="168"/>
      <c r="K88" s="2"/>
      <c r="L88" s="167">
        <v>3</v>
      </c>
      <c r="M88" s="273"/>
      <c r="N88" s="298"/>
      <c r="O88" s="164" t="str">
        <f>VLOOKUP(D88,숨김!$B$3:$E$300,4,0)</f>
        <v>성취도 5단계+석차등급X</v>
      </c>
    </row>
    <row r="89" spans="1:15" ht="16.5" customHeight="1">
      <c r="A89" s="267"/>
      <c r="B89" s="303"/>
      <c r="C89" s="162" t="str">
        <f>VLOOKUP(D89,숨김!$B$3:$E$300,2,0)</f>
        <v>진로</v>
      </c>
      <c r="D89" s="2" t="s">
        <v>501</v>
      </c>
      <c r="E89" s="169">
        <f>VLOOKUP(D89,숨김!$B$3:$E$300,3,0)</f>
        <v>4</v>
      </c>
      <c r="F89" s="173">
        <v>3</v>
      </c>
      <c r="G89" s="33"/>
      <c r="H89" s="2"/>
      <c r="I89" s="168"/>
      <c r="J89" s="168"/>
      <c r="K89" s="2"/>
      <c r="L89" s="167">
        <v>3</v>
      </c>
      <c r="M89" s="273"/>
      <c r="N89" s="298"/>
      <c r="O89" s="164" t="str">
        <f>VLOOKUP(D89,숨김!$B$3:$E$300,4,0)</f>
        <v>성취도 5단계+석차등급O</v>
      </c>
    </row>
    <row r="90" spans="1:15" ht="16.5" customHeight="1">
      <c r="A90" s="267"/>
      <c r="B90" s="253" t="s">
        <v>449</v>
      </c>
      <c r="C90" s="162" t="str">
        <f>VLOOKUP(D90,숨김!$B$3:$E$300,2,0)</f>
        <v>융합</v>
      </c>
      <c r="D90" s="2" t="s">
        <v>502</v>
      </c>
      <c r="E90" s="169">
        <f>VLOOKUP(D90,숨김!$B$3:$E$300,3,0)</f>
        <v>4</v>
      </c>
      <c r="F90" s="173">
        <v>3</v>
      </c>
      <c r="G90" s="33"/>
      <c r="H90" s="2"/>
      <c r="I90" s="168"/>
      <c r="J90" s="168"/>
      <c r="K90" s="2"/>
      <c r="L90" s="167"/>
      <c r="M90" s="273"/>
      <c r="N90" s="298"/>
      <c r="O90" s="164" t="str">
        <f>VLOOKUP(D90,숨김!$B$3:$E$300,4,0)</f>
        <v>성취도 5단계+석차등급X</v>
      </c>
    </row>
    <row r="91" spans="1:15" ht="16.5" customHeight="1">
      <c r="A91" s="267"/>
      <c r="B91" s="254"/>
      <c r="C91" s="162" t="str">
        <f>VLOOKUP(D91,숨김!$B$3:$E$300,2,0)</f>
        <v>융합</v>
      </c>
      <c r="D91" s="2" t="s">
        <v>503</v>
      </c>
      <c r="E91" s="169">
        <f>VLOOKUP(D91,숨김!$B$3:$E$300,3,0)</f>
        <v>4</v>
      </c>
      <c r="F91" s="173">
        <v>3</v>
      </c>
      <c r="G91" s="33"/>
      <c r="H91" s="2"/>
      <c r="I91" s="168"/>
      <c r="J91" s="168"/>
      <c r="K91" s="2"/>
      <c r="L91" s="167"/>
      <c r="M91" s="273"/>
      <c r="N91" s="298"/>
      <c r="O91" s="164" t="str">
        <f>VLOOKUP(D91,숨김!$B$3:$E$300,4,0)</f>
        <v>성취도 5단계+석차등급X</v>
      </c>
    </row>
    <row r="92" spans="1:15" ht="16.5" customHeight="1">
      <c r="A92" s="267"/>
      <c r="B92" s="168" t="s">
        <v>39</v>
      </c>
      <c r="C92" s="162" t="str">
        <f>VLOOKUP(D92,숨김!$B$3:$E$300,2,0)</f>
        <v>융합</v>
      </c>
      <c r="D92" s="2" t="s">
        <v>505</v>
      </c>
      <c r="E92" s="169">
        <f>VLOOKUP(D92,숨김!$B$3:$E$300,3,0)</f>
        <v>4</v>
      </c>
      <c r="F92" s="173">
        <v>3</v>
      </c>
      <c r="G92" s="33"/>
      <c r="H92" s="2"/>
      <c r="I92" s="2"/>
      <c r="J92" s="2"/>
      <c r="K92" s="6"/>
      <c r="L92" s="159"/>
      <c r="M92" s="273"/>
      <c r="N92" s="298"/>
      <c r="O92" s="164" t="str">
        <f>VLOOKUP(D92,숨김!$B$3:$E$300,4,0)</f>
        <v>성취도 5단계+석차등급O</v>
      </c>
    </row>
    <row r="93" spans="1:15" ht="16.5" customHeight="1">
      <c r="A93" s="267"/>
      <c r="B93" s="168" t="s">
        <v>40</v>
      </c>
      <c r="C93" s="162" t="str">
        <f>VLOOKUP(D93,숨김!$B$3:$E$300,2,0)</f>
        <v>융합</v>
      </c>
      <c r="D93" s="2" t="s">
        <v>506</v>
      </c>
      <c r="E93" s="169">
        <f>VLOOKUP(D93,숨김!$B$3:$E$300,3,0)</f>
        <v>4</v>
      </c>
      <c r="F93" s="173">
        <v>3</v>
      </c>
      <c r="G93" s="33"/>
      <c r="H93" s="2"/>
      <c r="I93" s="169"/>
      <c r="J93" s="169"/>
      <c r="K93" s="160"/>
      <c r="L93" s="159"/>
      <c r="M93" s="273"/>
      <c r="N93" s="298"/>
      <c r="O93" s="164" t="str">
        <f>VLOOKUP(D93,숨김!$B$3:$E$300,4,0)</f>
        <v>성취도 5단계+석차등급O</v>
      </c>
    </row>
    <row r="94" spans="1:15" ht="16.5" customHeight="1">
      <c r="A94" s="267"/>
      <c r="B94" s="253" t="s">
        <v>464</v>
      </c>
      <c r="C94" s="162" t="str">
        <f>VLOOKUP(D94,숨김!$B$3:$E$300,2,0)</f>
        <v>진로</v>
      </c>
      <c r="D94" s="2" t="s">
        <v>507</v>
      </c>
      <c r="E94" s="169">
        <f>VLOOKUP(D94,숨김!$B$3:$E$300,3,0)</f>
        <v>4</v>
      </c>
      <c r="F94" s="173">
        <v>3</v>
      </c>
      <c r="G94" s="33"/>
      <c r="H94" s="2"/>
      <c r="I94" s="169"/>
      <c r="J94" s="169"/>
      <c r="K94" s="160"/>
      <c r="L94" s="159"/>
      <c r="M94" s="273"/>
      <c r="N94" s="298"/>
      <c r="O94" s="164" t="str">
        <f>VLOOKUP(D94,숨김!$B$3:$E$300,4,0)</f>
        <v>성취도 5단계+석차등급O</v>
      </c>
    </row>
    <row r="95" spans="1:15" ht="16.5" customHeight="1">
      <c r="A95" s="287"/>
      <c r="B95" s="255"/>
      <c r="C95" s="162" t="str">
        <f>VLOOKUP(D95,숨김!$B$3:$E$300,2,0)</f>
        <v>진로</v>
      </c>
      <c r="D95" s="2" t="s">
        <v>508</v>
      </c>
      <c r="E95" s="169">
        <f>VLOOKUP(D95,숨김!$B$3:$E$300,3,0)</f>
        <v>4</v>
      </c>
      <c r="F95" s="173">
        <v>3</v>
      </c>
      <c r="G95" s="33"/>
      <c r="H95" s="2"/>
      <c r="I95" s="169"/>
      <c r="J95" s="169"/>
      <c r="K95" s="160"/>
      <c r="L95" s="160"/>
      <c r="M95" s="299"/>
      <c r="N95" s="300"/>
      <c r="O95" s="164" t="str">
        <f>VLOOKUP(D95,숨김!$B$3:$E$300,4,0)</f>
        <v>성취도 5단계+석차등급O</v>
      </c>
    </row>
    <row r="96" spans="1:15" ht="16.5" customHeight="1">
      <c r="A96" s="266" t="s">
        <v>497</v>
      </c>
      <c r="B96" s="253" t="s">
        <v>483</v>
      </c>
      <c r="C96" s="162" t="str">
        <f>VLOOKUP(D96,숨김!$B$3:$E$300,2,0)</f>
        <v>융합</v>
      </c>
      <c r="D96" s="2" t="s">
        <v>509</v>
      </c>
      <c r="E96" s="169">
        <v>3</v>
      </c>
      <c r="F96" s="173">
        <v>3</v>
      </c>
      <c r="G96" s="33"/>
      <c r="H96" s="2"/>
      <c r="I96" s="169"/>
      <c r="J96" s="169"/>
      <c r="K96" s="160"/>
      <c r="L96" s="168">
        <v>3</v>
      </c>
      <c r="M96" s="288">
        <f>SUM(G96:L97)</f>
        <v>3</v>
      </c>
      <c r="N96" s="289"/>
      <c r="O96" s="164" t="str">
        <f>VLOOKUP(D96,숨김!$B$3:$E$300,4,0)</f>
        <v>성취도 3단계</v>
      </c>
    </row>
    <row r="97" spans="1:15" ht="16.5" customHeight="1">
      <c r="A97" s="287"/>
      <c r="B97" s="255"/>
      <c r="C97" s="162" t="str">
        <f>VLOOKUP(D97,숨김!$B$3:$E$300,2,0)</f>
        <v>진로</v>
      </c>
      <c r="D97" s="2" t="s">
        <v>510</v>
      </c>
      <c r="E97" s="169">
        <v>3</v>
      </c>
      <c r="F97" s="173">
        <v>3</v>
      </c>
      <c r="G97" s="33"/>
      <c r="H97" s="2"/>
      <c r="I97" s="169"/>
      <c r="J97" s="169"/>
      <c r="K97" s="160"/>
      <c r="L97" s="160"/>
      <c r="M97" s="290"/>
      <c r="N97" s="291"/>
      <c r="O97" s="164" t="str">
        <f>VLOOKUP(D97,숨김!$B$3:$E$300,4,0)</f>
        <v>성취도 3단계</v>
      </c>
    </row>
    <row r="98" spans="1:15" ht="16.5" customHeight="1">
      <c r="A98" s="266" t="s">
        <v>498</v>
      </c>
      <c r="B98" s="269" t="s">
        <v>484</v>
      </c>
      <c r="C98" s="162" t="str">
        <f>VLOOKUP(D98,숨김!$B$3:$E$300,2,0)</f>
        <v>진로</v>
      </c>
      <c r="D98" s="2" t="s">
        <v>511</v>
      </c>
      <c r="E98" s="169">
        <f>VLOOKUP(D98,숨김!$B$3:$E$300,3,0)</f>
        <v>3</v>
      </c>
      <c r="F98" s="173">
        <v>2</v>
      </c>
      <c r="G98" s="33"/>
      <c r="H98" s="2"/>
      <c r="I98" s="169"/>
      <c r="J98" s="169"/>
      <c r="K98" s="2"/>
      <c r="L98" s="168">
        <v>2</v>
      </c>
      <c r="M98" s="271">
        <f>SUM(G98:L100)</f>
        <v>2</v>
      </c>
      <c r="N98" s="272"/>
      <c r="O98" s="164" t="str">
        <f>VLOOKUP(D98,숨김!$B$3:$E$300,4,0)</f>
        <v>이수/미이수</v>
      </c>
    </row>
    <row r="99" spans="1:15" ht="16.5" customHeight="1">
      <c r="A99" s="267"/>
      <c r="B99" s="254"/>
      <c r="C99" s="162" t="str">
        <f>VLOOKUP(D99,숨김!$B$3:$E$300,2,0)</f>
        <v>진로</v>
      </c>
      <c r="D99" s="2" t="s">
        <v>512</v>
      </c>
      <c r="E99" s="169">
        <v>3</v>
      </c>
      <c r="F99" s="173">
        <v>2</v>
      </c>
      <c r="G99" s="33"/>
      <c r="H99" s="2"/>
      <c r="I99" s="169"/>
      <c r="J99" s="169"/>
      <c r="K99" s="169"/>
      <c r="L99" s="167"/>
      <c r="M99" s="273"/>
      <c r="N99" s="274"/>
      <c r="O99" s="164" t="str">
        <f>VLOOKUP(D99,숨김!$B$3:$E$300,4,0)</f>
        <v>이수/미이수</v>
      </c>
    </row>
    <row r="100" spans="1:15" ht="16.2" customHeight="1" thickBot="1">
      <c r="A100" s="268"/>
      <c r="B100" s="270"/>
      <c r="C100" s="162" t="str">
        <f>VLOOKUP(D100,숨김!$B$3:$E$300,2,0)</f>
        <v>융합</v>
      </c>
      <c r="D100" s="2" t="s">
        <v>513</v>
      </c>
      <c r="E100" s="169">
        <f>VLOOKUP(D100,숨김!$B$3:$E$300,3,0)</f>
        <v>3</v>
      </c>
      <c r="F100" s="173">
        <v>2</v>
      </c>
      <c r="G100" s="33"/>
      <c r="H100" s="2"/>
      <c r="I100" s="169"/>
      <c r="J100" s="169"/>
      <c r="K100" s="169"/>
      <c r="L100" s="76"/>
      <c r="M100" s="275"/>
      <c r="N100" s="276"/>
      <c r="O100" s="164" t="str">
        <f>VLOOKUP(D100,숨김!$B$3:$E$300,4,0)</f>
        <v>이수/미이수</v>
      </c>
    </row>
    <row r="101" spans="1:15" ht="16.5" customHeight="1" thickBot="1">
      <c r="A101" s="277" t="s">
        <v>52</v>
      </c>
      <c r="B101" s="278"/>
      <c r="C101" s="278"/>
      <c r="D101" s="279"/>
      <c r="E101" s="3"/>
      <c r="F101" s="157"/>
      <c r="G101" s="35">
        <f t="shared" ref="G101:L101" si="3">SUM(G38:G100)</f>
        <v>0</v>
      </c>
      <c r="H101" s="3">
        <f t="shared" si="3"/>
        <v>0</v>
      </c>
      <c r="I101" s="3">
        <f t="shared" si="3"/>
        <v>15</v>
      </c>
      <c r="J101" s="3">
        <f t="shared" si="3"/>
        <v>15</v>
      </c>
      <c r="K101" s="3">
        <f t="shared" si="3"/>
        <v>14</v>
      </c>
      <c r="L101" s="3">
        <f t="shared" si="3"/>
        <v>26</v>
      </c>
      <c r="M101" s="280">
        <f>SUM(G101:L101)</f>
        <v>70</v>
      </c>
      <c r="N101" s="281"/>
      <c r="O101" s="29"/>
    </row>
    <row r="102" spans="1:15" ht="16.5" customHeight="1">
      <c r="A102" s="282" t="s">
        <v>53</v>
      </c>
      <c r="B102" s="283"/>
      <c r="C102" s="283"/>
      <c r="D102" s="284"/>
      <c r="E102" s="36"/>
      <c r="F102" s="158"/>
      <c r="G102" s="38">
        <f t="shared" ref="G102:L102" si="4">SUM(G37,G101)</f>
        <v>29</v>
      </c>
      <c r="H102" s="36">
        <f t="shared" si="4"/>
        <v>29</v>
      </c>
      <c r="I102" s="36">
        <f t="shared" si="4"/>
        <v>30</v>
      </c>
      <c r="J102" s="36">
        <f t="shared" si="4"/>
        <v>30</v>
      </c>
      <c r="K102" s="36">
        <f t="shared" si="4"/>
        <v>28</v>
      </c>
      <c r="L102" s="36">
        <f t="shared" si="4"/>
        <v>28</v>
      </c>
      <c r="M102" s="285">
        <f>SUM(G102:L102)</f>
        <v>174</v>
      </c>
      <c r="N102" s="286"/>
      <c r="O102" s="39"/>
    </row>
    <row r="103" spans="1:15" ht="16.5" customHeight="1" thickBot="1">
      <c r="A103" s="256" t="s">
        <v>54</v>
      </c>
      <c r="B103" s="257"/>
      <c r="C103" s="257"/>
      <c r="D103" s="258"/>
      <c r="E103" s="40"/>
      <c r="F103" s="41"/>
      <c r="G103" s="42">
        <v>3</v>
      </c>
      <c r="H103" s="40">
        <v>3</v>
      </c>
      <c r="I103" s="40">
        <v>3</v>
      </c>
      <c r="J103" s="40">
        <v>3</v>
      </c>
      <c r="K103" s="40">
        <v>3</v>
      </c>
      <c r="L103" s="40">
        <v>3</v>
      </c>
      <c r="M103" s="259">
        <f>SUM(G103:L103)</f>
        <v>18</v>
      </c>
      <c r="N103" s="260"/>
      <c r="O103" s="43"/>
    </row>
    <row r="104" spans="1:15" ht="16.5" customHeight="1" thickBot="1">
      <c r="A104" s="261" t="s">
        <v>55</v>
      </c>
      <c r="B104" s="262"/>
      <c r="C104" s="262"/>
      <c r="D104" s="263"/>
      <c r="E104" s="44"/>
      <c r="F104" s="156"/>
      <c r="G104" s="46">
        <f t="shared" ref="G104:L104" si="5">SUM(G102:G103)</f>
        <v>32</v>
      </c>
      <c r="H104" s="44">
        <f t="shared" si="5"/>
        <v>32</v>
      </c>
      <c r="I104" s="44">
        <f t="shared" si="5"/>
        <v>33</v>
      </c>
      <c r="J104" s="44">
        <f t="shared" si="5"/>
        <v>33</v>
      </c>
      <c r="K104" s="44">
        <f t="shared" si="5"/>
        <v>31</v>
      </c>
      <c r="L104" s="44">
        <f t="shared" si="5"/>
        <v>31</v>
      </c>
      <c r="M104" s="264">
        <f>SUM(G104:L104)</f>
        <v>192</v>
      </c>
      <c r="N104" s="265"/>
      <c r="O104" s="47"/>
    </row>
    <row r="105" spans="1:15" ht="16.5" customHeight="1">
      <c r="A105" s="8"/>
      <c r="N105" s="8"/>
    </row>
    <row r="106" spans="1:15" ht="16.5" customHeight="1">
      <c r="A106" s="8"/>
      <c r="N106" s="8"/>
    </row>
    <row r="107" spans="1:15" ht="16.5" customHeight="1">
      <c r="A107" s="8"/>
      <c r="N107" s="8"/>
    </row>
    <row r="108" spans="1:15" ht="16.5" customHeight="1">
      <c r="A108" s="8"/>
      <c r="N108" s="8"/>
    </row>
    <row r="109" spans="1:15" ht="16.5" customHeight="1">
      <c r="A109" s="8"/>
      <c r="N109" s="8"/>
    </row>
    <row r="110" spans="1:15" ht="16.5" customHeight="1">
      <c r="A110" s="8"/>
      <c r="N110" s="8"/>
    </row>
    <row r="111" spans="1:15" ht="16.5" customHeight="1">
      <c r="A111" s="8"/>
      <c r="N111" s="8"/>
    </row>
    <row r="112" spans="1:15" ht="16.5" customHeight="1">
      <c r="A112" s="8"/>
      <c r="N112" s="8"/>
    </row>
    <row r="113" spans="1:14" ht="16.5" customHeight="1">
      <c r="A113" s="8"/>
      <c r="N113" s="8"/>
    </row>
    <row r="114" spans="1:14" ht="16.5" customHeight="1">
      <c r="A114" s="8"/>
      <c r="N114" s="8"/>
    </row>
    <row r="115" spans="1:14" ht="16.5" customHeight="1">
      <c r="A115" s="8"/>
      <c r="N115" s="8"/>
    </row>
    <row r="116" spans="1:14" ht="16.5" customHeight="1">
      <c r="A116" s="8"/>
      <c r="N116" s="8"/>
    </row>
    <row r="117" spans="1:14" ht="16.5" customHeight="1">
      <c r="A117" s="8"/>
      <c r="N117" s="8"/>
    </row>
    <row r="118" spans="1:14" ht="16.5" customHeight="1">
      <c r="A118" s="8"/>
      <c r="N118" s="8"/>
    </row>
    <row r="119" spans="1:14" ht="16.5" customHeight="1">
      <c r="A119" s="8"/>
      <c r="N119" s="8"/>
    </row>
    <row r="120" spans="1:14" ht="16.5" customHeight="1">
      <c r="A120" s="8"/>
      <c r="N120" s="8"/>
    </row>
    <row r="121" spans="1:14" ht="16.5" customHeight="1">
      <c r="A121" s="8"/>
      <c r="N121" s="8"/>
    </row>
    <row r="122" spans="1:14" ht="16.5" customHeight="1">
      <c r="A122" s="8"/>
      <c r="N122" s="8"/>
    </row>
    <row r="123" spans="1:14" ht="16.5" customHeight="1">
      <c r="A123" s="8"/>
      <c r="N123" s="8"/>
    </row>
    <row r="124" spans="1:14" ht="16.5" customHeight="1">
      <c r="A124" s="8"/>
      <c r="N124" s="8"/>
    </row>
    <row r="125" spans="1:14" ht="16.5" customHeight="1">
      <c r="A125" s="8"/>
      <c r="N125" s="8"/>
    </row>
    <row r="126" spans="1:14" ht="16.5" customHeight="1">
      <c r="A126" s="8"/>
      <c r="N126" s="8"/>
    </row>
    <row r="127" spans="1:14" ht="16.5" customHeight="1">
      <c r="A127" s="8"/>
      <c r="N127" s="8"/>
    </row>
    <row r="128" spans="1:14" ht="16.5" customHeight="1">
      <c r="A128" s="8"/>
      <c r="N128" s="8"/>
    </row>
    <row r="129" spans="1:14" ht="16.5" customHeight="1">
      <c r="A129" s="8"/>
      <c r="N129" s="8"/>
    </row>
    <row r="130" spans="1:14" ht="16.5" customHeight="1">
      <c r="A130" s="8"/>
      <c r="N130" s="8"/>
    </row>
    <row r="131" spans="1:14" ht="16.5" customHeight="1">
      <c r="A131" s="8"/>
      <c r="N131" s="8"/>
    </row>
    <row r="132" spans="1:14" ht="16.5" customHeight="1">
      <c r="A132" s="8"/>
      <c r="N132" s="8"/>
    </row>
    <row r="133" spans="1:14" ht="16.5" customHeight="1">
      <c r="A133" s="8"/>
      <c r="N133" s="8"/>
    </row>
    <row r="134" spans="1:14" ht="16.5" customHeight="1">
      <c r="A134" s="8"/>
      <c r="N134" s="8"/>
    </row>
    <row r="135" spans="1:14" ht="16.5" customHeight="1">
      <c r="A135" s="8"/>
      <c r="N135" s="8"/>
    </row>
    <row r="136" spans="1:14" ht="16.5" customHeight="1">
      <c r="A136" s="8"/>
      <c r="N136" s="8"/>
    </row>
    <row r="137" spans="1:14" ht="16.5" customHeight="1">
      <c r="A137" s="8"/>
      <c r="N137" s="8"/>
    </row>
    <row r="138" spans="1:14" ht="16.5" customHeight="1">
      <c r="A138" s="8"/>
      <c r="N138" s="8"/>
    </row>
    <row r="139" spans="1:14" ht="16.5" customHeight="1">
      <c r="A139" s="8"/>
      <c r="N139" s="8"/>
    </row>
    <row r="140" spans="1:14" ht="16.5" customHeight="1">
      <c r="A140" s="8"/>
      <c r="N140" s="8"/>
    </row>
    <row r="141" spans="1:14" ht="16.5" customHeight="1">
      <c r="A141" s="8"/>
      <c r="N141" s="8"/>
    </row>
    <row r="142" spans="1:14" ht="16.5" customHeight="1">
      <c r="A142" s="8"/>
      <c r="N142" s="8"/>
    </row>
    <row r="143" spans="1:14" ht="16.5" customHeight="1">
      <c r="A143" s="8"/>
      <c r="N143" s="8"/>
    </row>
    <row r="144" spans="1:14" ht="16.5" customHeight="1">
      <c r="A144" s="8"/>
      <c r="N144" s="8"/>
    </row>
    <row r="145" spans="1:14" ht="16.5" customHeight="1">
      <c r="A145" s="8"/>
      <c r="N145" s="8"/>
    </row>
    <row r="146" spans="1:14" ht="16.5" customHeight="1">
      <c r="A146" s="8"/>
      <c r="N146" s="8"/>
    </row>
    <row r="147" spans="1:14" ht="16.5" customHeight="1">
      <c r="A147" s="8"/>
      <c r="N147" s="8"/>
    </row>
    <row r="148" spans="1:14" ht="16.5" customHeight="1">
      <c r="A148" s="8"/>
      <c r="N148" s="8"/>
    </row>
    <row r="149" spans="1:14" ht="16.5" customHeight="1">
      <c r="A149" s="8"/>
      <c r="N149" s="8"/>
    </row>
    <row r="150" spans="1:14" ht="16.5" customHeight="1">
      <c r="A150" s="8"/>
      <c r="N150" s="8"/>
    </row>
    <row r="151" spans="1:14" ht="16.5" customHeight="1">
      <c r="A151" s="8"/>
      <c r="N151" s="8"/>
    </row>
    <row r="152" spans="1:14" ht="16.5" customHeight="1">
      <c r="A152" s="8"/>
      <c r="N152" s="8"/>
    </row>
    <row r="153" spans="1:14" ht="16.5" customHeight="1">
      <c r="A153" s="8"/>
      <c r="N153" s="8"/>
    </row>
    <row r="154" spans="1:14" ht="16.5" customHeight="1">
      <c r="A154" s="8"/>
      <c r="N154" s="8"/>
    </row>
    <row r="155" spans="1:14" ht="16.5" customHeight="1">
      <c r="A155" s="8"/>
      <c r="N155" s="8"/>
    </row>
    <row r="156" spans="1:14" ht="16.5" customHeight="1">
      <c r="A156" s="8"/>
      <c r="N156" s="8"/>
    </row>
    <row r="157" spans="1:14" ht="16.5" customHeight="1">
      <c r="A157" s="8"/>
      <c r="N157" s="8"/>
    </row>
    <row r="158" spans="1:14" ht="16.5" customHeight="1">
      <c r="A158" s="8"/>
      <c r="N158" s="8"/>
    </row>
    <row r="159" spans="1:14" ht="16.5" customHeight="1">
      <c r="A159" s="8"/>
      <c r="N159" s="8"/>
    </row>
    <row r="160" spans="1:14" ht="16.5" customHeight="1">
      <c r="A160" s="8"/>
      <c r="N160" s="8"/>
    </row>
    <row r="161" spans="1:14" ht="16.5" customHeight="1">
      <c r="A161" s="8"/>
      <c r="N161" s="8"/>
    </row>
    <row r="162" spans="1:14" ht="16.5" customHeight="1">
      <c r="A162" s="8"/>
      <c r="N162" s="8"/>
    </row>
    <row r="163" spans="1:14" ht="16.5" customHeight="1">
      <c r="A163" s="8"/>
      <c r="N163" s="8"/>
    </row>
    <row r="164" spans="1:14" ht="16.5" customHeight="1">
      <c r="A164" s="8"/>
      <c r="N164" s="8"/>
    </row>
    <row r="165" spans="1:14" ht="16.5" customHeight="1">
      <c r="A165" s="8"/>
      <c r="N165" s="8"/>
    </row>
    <row r="166" spans="1:14" ht="16.5" customHeight="1">
      <c r="A166" s="8"/>
      <c r="N166" s="8"/>
    </row>
    <row r="167" spans="1:14" ht="16.5" customHeight="1">
      <c r="A167" s="8"/>
      <c r="N167" s="8"/>
    </row>
    <row r="168" spans="1:14" ht="16.5" customHeight="1">
      <c r="A168" s="8"/>
      <c r="N168" s="8"/>
    </row>
    <row r="169" spans="1:14" ht="16.5" customHeight="1">
      <c r="A169" s="8"/>
      <c r="N169" s="8"/>
    </row>
    <row r="170" spans="1:14" ht="16.5" customHeight="1">
      <c r="A170" s="8"/>
      <c r="N170" s="8"/>
    </row>
    <row r="171" spans="1:14" ht="16.5" customHeight="1">
      <c r="A171" s="8"/>
      <c r="N171" s="8"/>
    </row>
    <row r="172" spans="1:14" ht="16.5" customHeight="1">
      <c r="A172" s="8"/>
      <c r="N172" s="8"/>
    </row>
    <row r="173" spans="1:14" ht="16.5" customHeight="1">
      <c r="A173" s="8"/>
      <c r="N173" s="8"/>
    </row>
    <row r="174" spans="1:14" ht="16.5" customHeight="1">
      <c r="A174" s="8"/>
      <c r="N174" s="8"/>
    </row>
    <row r="175" spans="1:14" ht="16.5" customHeight="1">
      <c r="A175" s="8"/>
      <c r="N175" s="8"/>
    </row>
    <row r="176" spans="1:14" ht="16.5" customHeight="1">
      <c r="A176" s="8"/>
      <c r="N176" s="8"/>
    </row>
    <row r="177" spans="1:14" ht="16.5" customHeight="1">
      <c r="A177" s="8"/>
      <c r="N177" s="8"/>
    </row>
    <row r="178" spans="1:14" ht="16.5" customHeight="1">
      <c r="A178" s="8"/>
      <c r="N178" s="8"/>
    </row>
    <row r="179" spans="1:14" ht="16.5" customHeight="1">
      <c r="A179" s="8"/>
      <c r="N179" s="8"/>
    </row>
    <row r="180" spans="1:14" ht="16.5" customHeight="1">
      <c r="A180" s="8"/>
      <c r="N180" s="8"/>
    </row>
    <row r="181" spans="1:14" ht="16.5" customHeight="1">
      <c r="A181" s="8"/>
      <c r="N181" s="8"/>
    </row>
    <row r="182" spans="1:14" ht="16.5" customHeight="1">
      <c r="A182" s="8"/>
      <c r="N182" s="8"/>
    </row>
    <row r="183" spans="1:14" ht="16.5" customHeight="1">
      <c r="A183" s="8"/>
      <c r="N183" s="8"/>
    </row>
    <row r="184" spans="1:14" ht="16.5" customHeight="1">
      <c r="A184" s="8"/>
      <c r="N184" s="8"/>
    </row>
    <row r="185" spans="1:14" ht="16.5" customHeight="1">
      <c r="A185" s="8"/>
      <c r="N185" s="8"/>
    </row>
    <row r="186" spans="1:14" ht="16.5" customHeight="1">
      <c r="A186" s="8"/>
      <c r="N186" s="8"/>
    </row>
    <row r="187" spans="1:14" ht="16.5" customHeight="1">
      <c r="A187" s="8"/>
      <c r="N187" s="8"/>
    </row>
    <row r="188" spans="1:14" ht="16.5" customHeight="1">
      <c r="A188" s="8"/>
      <c r="N188" s="8"/>
    </row>
    <row r="189" spans="1:14" ht="16.5" customHeight="1">
      <c r="A189" s="8"/>
      <c r="N189" s="8"/>
    </row>
    <row r="190" spans="1:14" ht="16.5" customHeight="1">
      <c r="A190" s="8"/>
      <c r="N190" s="8"/>
    </row>
    <row r="191" spans="1:14" ht="16.5" customHeight="1">
      <c r="A191" s="8"/>
      <c r="N191" s="8"/>
    </row>
    <row r="192" spans="1:14" ht="16.5" customHeight="1">
      <c r="A192" s="8"/>
      <c r="N192" s="8"/>
    </row>
    <row r="193" spans="1:14" ht="16.5" customHeight="1">
      <c r="A193" s="8"/>
      <c r="N193" s="8"/>
    </row>
    <row r="194" spans="1:14" ht="16.5" customHeight="1">
      <c r="A194" s="8"/>
      <c r="N194" s="8"/>
    </row>
    <row r="195" spans="1:14" ht="16.5" customHeight="1">
      <c r="A195" s="8"/>
      <c r="N195" s="8"/>
    </row>
    <row r="196" spans="1:14" ht="16.5" customHeight="1">
      <c r="A196" s="8"/>
      <c r="N196" s="8"/>
    </row>
    <row r="197" spans="1:14" ht="16.5" customHeight="1">
      <c r="A197" s="8"/>
      <c r="N197" s="8"/>
    </row>
    <row r="198" spans="1:14" ht="16.5" customHeight="1">
      <c r="A198" s="8"/>
      <c r="N198" s="8"/>
    </row>
    <row r="199" spans="1:14" ht="16.5" customHeight="1">
      <c r="A199" s="8"/>
      <c r="N199" s="8"/>
    </row>
    <row r="200" spans="1:14" ht="16.5" customHeight="1">
      <c r="A200" s="8"/>
      <c r="N200" s="8"/>
    </row>
    <row r="201" spans="1:14" ht="16.5" customHeight="1">
      <c r="A201" s="8"/>
      <c r="N201" s="8"/>
    </row>
    <row r="202" spans="1:14" ht="16.5" customHeight="1">
      <c r="A202" s="8"/>
      <c r="N202" s="8"/>
    </row>
    <row r="203" spans="1:14" ht="16.5" customHeight="1">
      <c r="A203" s="8"/>
      <c r="N203" s="8"/>
    </row>
    <row r="204" spans="1:14" ht="16.5" customHeight="1">
      <c r="A204" s="8"/>
      <c r="N204" s="8"/>
    </row>
    <row r="205" spans="1:14" ht="16.5" customHeight="1">
      <c r="A205" s="8"/>
      <c r="N205" s="8"/>
    </row>
    <row r="206" spans="1:14" ht="16.5" customHeight="1">
      <c r="A206" s="8"/>
      <c r="N206" s="8"/>
    </row>
    <row r="207" spans="1:14" ht="16.5" customHeight="1">
      <c r="A207" s="8"/>
      <c r="N207" s="8"/>
    </row>
    <row r="208" spans="1:14" ht="16.5" customHeight="1">
      <c r="A208" s="8"/>
      <c r="N208" s="8"/>
    </row>
    <row r="209" spans="1:14" ht="16.5" customHeight="1">
      <c r="A209" s="8"/>
      <c r="N209" s="8"/>
    </row>
    <row r="210" spans="1:14" ht="16.5" customHeight="1">
      <c r="A210" s="8"/>
      <c r="N210" s="8"/>
    </row>
    <row r="211" spans="1:14" ht="16.5" customHeight="1">
      <c r="A211" s="8"/>
      <c r="N211" s="8"/>
    </row>
    <row r="212" spans="1:14" ht="16.5" customHeight="1">
      <c r="A212" s="8"/>
      <c r="N212" s="8"/>
    </row>
    <row r="213" spans="1:14" ht="16.5" customHeight="1">
      <c r="A213" s="8"/>
      <c r="N213" s="8"/>
    </row>
    <row r="214" spans="1:14" ht="16.5" customHeight="1">
      <c r="A214" s="8"/>
      <c r="N214" s="8"/>
    </row>
    <row r="215" spans="1:14" ht="16.5" customHeight="1">
      <c r="A215" s="8"/>
      <c r="N215" s="8"/>
    </row>
    <row r="216" spans="1:14" ht="16.5" customHeight="1">
      <c r="A216" s="8"/>
      <c r="N216" s="8"/>
    </row>
    <row r="217" spans="1:14" ht="16.5" customHeight="1">
      <c r="A217" s="8"/>
      <c r="N217" s="8"/>
    </row>
    <row r="218" spans="1:14" ht="16.5" customHeight="1">
      <c r="A218" s="8"/>
      <c r="N218" s="8"/>
    </row>
    <row r="219" spans="1:14" ht="16.5" customHeight="1">
      <c r="A219" s="8"/>
      <c r="N219" s="8"/>
    </row>
    <row r="220" spans="1:14" ht="16.5" customHeight="1">
      <c r="A220" s="8"/>
      <c r="N220" s="8"/>
    </row>
    <row r="221" spans="1:14" ht="16.5" customHeight="1">
      <c r="A221" s="8"/>
      <c r="N221" s="8"/>
    </row>
    <row r="222" spans="1:14" ht="16.5" customHeight="1">
      <c r="A222" s="8"/>
      <c r="N222" s="8"/>
    </row>
    <row r="223" spans="1:14" ht="16.5" customHeight="1">
      <c r="A223" s="8"/>
      <c r="N223" s="8"/>
    </row>
    <row r="224" spans="1:14" ht="16.5" customHeight="1">
      <c r="A224" s="8"/>
      <c r="N224" s="8"/>
    </row>
    <row r="225" spans="1:14" ht="16.5" customHeight="1">
      <c r="A225" s="8"/>
      <c r="N225" s="8"/>
    </row>
    <row r="226" spans="1:14" ht="16.5" customHeight="1">
      <c r="A226" s="8"/>
      <c r="N226" s="8"/>
    </row>
    <row r="227" spans="1:14" ht="16.5" customHeight="1">
      <c r="A227" s="8"/>
      <c r="N227" s="8"/>
    </row>
    <row r="228" spans="1:14" ht="16.5" customHeight="1">
      <c r="A228" s="8"/>
      <c r="N228" s="8"/>
    </row>
    <row r="229" spans="1:14" ht="16.5" customHeight="1">
      <c r="A229" s="8"/>
      <c r="N229" s="8"/>
    </row>
    <row r="230" spans="1:14" ht="16.5" customHeight="1">
      <c r="A230" s="8"/>
      <c r="N230" s="8"/>
    </row>
    <row r="231" spans="1:14" ht="16.5" customHeight="1">
      <c r="A231" s="8"/>
      <c r="N231" s="8"/>
    </row>
    <row r="232" spans="1:14" ht="16.5" customHeight="1">
      <c r="A232" s="8"/>
      <c r="N232" s="8"/>
    </row>
    <row r="233" spans="1:14" ht="16.5" customHeight="1">
      <c r="A233" s="8"/>
      <c r="N233" s="8"/>
    </row>
    <row r="234" spans="1:14" ht="16.5" customHeight="1">
      <c r="A234" s="8"/>
      <c r="N234" s="8"/>
    </row>
    <row r="235" spans="1:14" ht="16.5" customHeight="1">
      <c r="A235" s="8"/>
      <c r="N235" s="8"/>
    </row>
    <row r="236" spans="1:14" ht="16.5" customHeight="1">
      <c r="A236" s="8"/>
      <c r="N236" s="8"/>
    </row>
    <row r="237" spans="1:14" ht="16.5" customHeight="1">
      <c r="A237" s="8"/>
      <c r="N237" s="8"/>
    </row>
    <row r="238" spans="1:14" ht="16.5" customHeight="1">
      <c r="A238" s="8"/>
      <c r="N238" s="8"/>
    </row>
    <row r="239" spans="1:14" ht="16.5" customHeight="1">
      <c r="A239" s="8"/>
      <c r="N239" s="8"/>
    </row>
    <row r="240" spans="1:14" ht="16.5" customHeight="1">
      <c r="A240" s="8"/>
      <c r="N240" s="8"/>
    </row>
    <row r="241" spans="1:14" ht="16.5" customHeight="1">
      <c r="A241" s="8"/>
      <c r="N241" s="8"/>
    </row>
    <row r="242" spans="1:14" ht="16.5" customHeight="1">
      <c r="A242" s="8"/>
      <c r="N242" s="8"/>
    </row>
    <row r="243" spans="1:14" ht="16.5" customHeight="1">
      <c r="A243" s="8"/>
      <c r="N243" s="8"/>
    </row>
    <row r="244" spans="1:14" ht="16.5" customHeight="1">
      <c r="A244" s="8"/>
      <c r="N244" s="8"/>
    </row>
    <row r="245" spans="1:14" ht="16.5" customHeight="1">
      <c r="A245" s="8"/>
      <c r="N245" s="8"/>
    </row>
    <row r="246" spans="1:14" ht="16.5" customHeight="1">
      <c r="A246" s="8"/>
      <c r="N246" s="8"/>
    </row>
    <row r="247" spans="1:14" ht="16.5" customHeight="1">
      <c r="A247" s="8"/>
      <c r="N247" s="8"/>
    </row>
    <row r="248" spans="1:14" ht="16.5" customHeight="1">
      <c r="A248" s="8"/>
      <c r="N248" s="8"/>
    </row>
    <row r="249" spans="1:14" ht="16.5" customHeight="1">
      <c r="A249" s="8"/>
      <c r="N249" s="8"/>
    </row>
    <row r="250" spans="1:14" ht="16.5" customHeight="1">
      <c r="A250" s="8"/>
      <c r="N250" s="8"/>
    </row>
    <row r="251" spans="1:14" ht="16.5" customHeight="1">
      <c r="A251" s="8"/>
      <c r="N251" s="8"/>
    </row>
    <row r="252" spans="1:14" ht="16.5" customHeight="1">
      <c r="A252" s="8"/>
      <c r="N252" s="8"/>
    </row>
    <row r="253" spans="1:14" ht="16.5" customHeight="1">
      <c r="A253" s="8"/>
      <c r="N253" s="8"/>
    </row>
    <row r="254" spans="1:14" ht="16.5" customHeight="1">
      <c r="A254" s="8"/>
      <c r="N254" s="8"/>
    </row>
    <row r="255" spans="1:14" ht="16.5" customHeight="1">
      <c r="A255" s="8"/>
      <c r="N255" s="8"/>
    </row>
    <row r="256" spans="1:14" ht="16.5" customHeight="1">
      <c r="A256" s="8"/>
      <c r="N256" s="8"/>
    </row>
    <row r="257" spans="1:14" ht="16.5" customHeight="1">
      <c r="A257" s="8"/>
      <c r="N257" s="8"/>
    </row>
    <row r="258" spans="1:14" ht="16.5" customHeight="1">
      <c r="A258" s="8"/>
      <c r="N258" s="8"/>
    </row>
    <row r="259" spans="1:14" ht="16.5" customHeight="1">
      <c r="A259" s="8"/>
      <c r="N259" s="8"/>
    </row>
    <row r="260" spans="1:14" ht="16.5" customHeight="1">
      <c r="A260" s="8"/>
      <c r="N260" s="8"/>
    </row>
    <row r="261" spans="1:14" ht="16.5" customHeight="1">
      <c r="A261" s="8"/>
      <c r="N261" s="8"/>
    </row>
    <row r="262" spans="1:14" ht="16.5" customHeight="1">
      <c r="A262" s="8"/>
      <c r="N262" s="8"/>
    </row>
    <row r="263" spans="1:14" ht="16.5" customHeight="1">
      <c r="A263" s="8"/>
      <c r="N263" s="8"/>
    </row>
    <row r="264" spans="1:14" ht="16.5" customHeight="1">
      <c r="A264" s="8"/>
      <c r="N264" s="8"/>
    </row>
    <row r="265" spans="1:14" ht="16.5" customHeight="1">
      <c r="A265" s="8"/>
      <c r="N265" s="8"/>
    </row>
    <row r="266" spans="1:14" ht="16.5" customHeight="1">
      <c r="A266" s="8"/>
      <c r="N266" s="8"/>
    </row>
    <row r="267" spans="1:14" ht="16.5" customHeight="1">
      <c r="A267" s="8"/>
      <c r="N267" s="8"/>
    </row>
    <row r="268" spans="1:14" ht="16.5" customHeight="1">
      <c r="A268" s="8"/>
      <c r="N268" s="8"/>
    </row>
    <row r="269" spans="1:14" ht="16.5" customHeight="1">
      <c r="A269" s="8"/>
      <c r="N269" s="8"/>
    </row>
    <row r="270" spans="1:14" ht="16.5" customHeight="1">
      <c r="A270" s="8"/>
      <c r="N270" s="8"/>
    </row>
    <row r="271" spans="1:14" ht="16.5" customHeight="1">
      <c r="A271" s="8"/>
      <c r="N271" s="8"/>
    </row>
    <row r="272" spans="1:14" ht="16.5" customHeight="1">
      <c r="A272" s="8"/>
      <c r="N272" s="8"/>
    </row>
    <row r="273" spans="1:14" ht="16.5" customHeight="1">
      <c r="A273" s="8"/>
      <c r="N273" s="8"/>
    </row>
    <row r="274" spans="1:14" ht="16.5" customHeight="1">
      <c r="A274" s="8"/>
      <c r="N274" s="8"/>
    </row>
    <row r="275" spans="1:14" ht="16.5" customHeight="1">
      <c r="A275" s="8"/>
      <c r="N275" s="8"/>
    </row>
    <row r="276" spans="1:14" ht="16.5" customHeight="1">
      <c r="A276" s="8"/>
      <c r="N276" s="8"/>
    </row>
    <row r="277" spans="1:14" ht="16.5" customHeight="1">
      <c r="A277" s="8"/>
      <c r="N277" s="8"/>
    </row>
    <row r="278" spans="1:14" ht="16.5" customHeight="1">
      <c r="A278" s="8"/>
      <c r="N278" s="8"/>
    </row>
    <row r="279" spans="1:14" ht="16.5" customHeight="1">
      <c r="A279" s="8"/>
      <c r="N279" s="8"/>
    </row>
    <row r="280" spans="1:14" ht="16.5" customHeight="1">
      <c r="A280" s="8"/>
      <c r="N280" s="8"/>
    </row>
    <row r="281" spans="1:14" ht="16.5" customHeight="1">
      <c r="A281" s="8"/>
      <c r="N281" s="8"/>
    </row>
    <row r="282" spans="1:14" ht="16.5" customHeight="1">
      <c r="A282" s="8"/>
      <c r="N282" s="8"/>
    </row>
    <row r="283" spans="1:14" ht="16.5" customHeight="1">
      <c r="A283" s="8"/>
      <c r="N283" s="8"/>
    </row>
    <row r="284" spans="1:14" ht="16.5" customHeight="1">
      <c r="A284" s="8"/>
      <c r="N284" s="8"/>
    </row>
    <row r="285" spans="1:14" ht="16.5" customHeight="1">
      <c r="A285" s="8"/>
      <c r="N285" s="8"/>
    </row>
    <row r="286" spans="1:14" ht="16.5" customHeight="1">
      <c r="A286" s="8"/>
      <c r="N286" s="8"/>
    </row>
    <row r="287" spans="1:14" ht="16.5" customHeight="1">
      <c r="A287" s="8"/>
      <c r="N287" s="8"/>
    </row>
    <row r="288" spans="1:14" ht="16.5" customHeight="1">
      <c r="A288" s="8"/>
      <c r="N288" s="8"/>
    </row>
    <row r="289" spans="1:14" ht="16.5" customHeight="1">
      <c r="A289" s="8"/>
      <c r="N289" s="8"/>
    </row>
    <row r="290" spans="1:14" ht="16.5" customHeight="1">
      <c r="A290" s="8"/>
      <c r="N290" s="8"/>
    </row>
    <row r="291" spans="1:14" ht="16.5" customHeight="1">
      <c r="A291" s="8"/>
      <c r="N291" s="8"/>
    </row>
    <row r="292" spans="1:14" ht="16.5" customHeight="1">
      <c r="A292" s="8"/>
      <c r="N292" s="8"/>
    </row>
    <row r="293" spans="1:14" ht="16.5" customHeight="1">
      <c r="A293" s="8"/>
      <c r="N293" s="8"/>
    </row>
    <row r="294" spans="1:14" ht="16.5" customHeight="1">
      <c r="A294" s="8"/>
      <c r="N294" s="8"/>
    </row>
    <row r="295" spans="1:14" ht="16.5" customHeight="1">
      <c r="A295" s="8"/>
      <c r="N295" s="8"/>
    </row>
    <row r="296" spans="1:14" ht="16.5" customHeight="1">
      <c r="A296" s="8"/>
      <c r="N296" s="8"/>
    </row>
    <row r="297" spans="1:14" ht="16.5" customHeight="1">
      <c r="A297" s="8"/>
      <c r="N297" s="8"/>
    </row>
    <row r="298" spans="1:14" ht="16.5" customHeight="1">
      <c r="A298" s="8"/>
      <c r="N298" s="8"/>
    </row>
    <row r="299" spans="1:14" ht="16.5" customHeight="1">
      <c r="A299" s="8"/>
      <c r="N299" s="8"/>
    </row>
    <row r="300" spans="1:14" ht="16.5" customHeight="1">
      <c r="A300" s="8"/>
      <c r="N300" s="8"/>
    </row>
    <row r="301" spans="1:14" ht="16.5" customHeight="1">
      <c r="A301" s="8"/>
      <c r="N301" s="8"/>
    </row>
    <row r="302" spans="1:14" ht="16.5" customHeight="1">
      <c r="A302" s="8"/>
      <c r="N302" s="8"/>
    </row>
    <row r="303" spans="1:14" ht="16.5" customHeight="1">
      <c r="A303" s="8"/>
      <c r="N303" s="8"/>
    </row>
    <row r="304" spans="1:14" ht="16.5" customHeight="1">
      <c r="A304" s="8"/>
      <c r="N304" s="8"/>
    </row>
    <row r="305" spans="1:14" ht="16.5" customHeight="1">
      <c r="A305" s="8"/>
      <c r="N305" s="8"/>
    </row>
    <row r="306" spans="1:14" ht="16.5" customHeight="1">
      <c r="A306" s="8"/>
      <c r="N306" s="8"/>
    </row>
    <row r="307" spans="1:14" ht="16.5" customHeight="1">
      <c r="A307" s="8"/>
      <c r="N307" s="8"/>
    </row>
    <row r="308" spans="1:14" ht="16.5" customHeight="1">
      <c r="A308" s="8"/>
      <c r="N308" s="8"/>
    </row>
    <row r="309" spans="1:14" ht="16.5" customHeight="1">
      <c r="A309" s="8"/>
      <c r="N309" s="8"/>
    </row>
    <row r="310" spans="1:14" ht="16.5" customHeight="1">
      <c r="A310" s="8"/>
      <c r="N310" s="8"/>
    </row>
    <row r="311" spans="1:14" ht="16.5" customHeight="1">
      <c r="A311" s="8"/>
      <c r="N311" s="8"/>
    </row>
    <row r="312" spans="1:14" ht="16.5" customHeight="1">
      <c r="A312" s="8"/>
      <c r="N312" s="8"/>
    </row>
    <row r="313" spans="1:14" ht="16.5" customHeight="1">
      <c r="A313" s="8"/>
      <c r="N313" s="8"/>
    </row>
    <row r="314" spans="1:14" ht="16.5" customHeight="1">
      <c r="A314" s="8"/>
      <c r="N314" s="8"/>
    </row>
    <row r="315" spans="1:14" ht="16.5" customHeight="1">
      <c r="A315" s="8"/>
      <c r="N315" s="8"/>
    </row>
    <row r="316" spans="1:14" ht="16.5" customHeight="1">
      <c r="A316" s="8"/>
      <c r="N316" s="8"/>
    </row>
    <row r="317" spans="1:14" ht="16.5" customHeight="1">
      <c r="A317" s="8"/>
      <c r="N317" s="8"/>
    </row>
    <row r="318" spans="1:14" ht="16.5" customHeight="1">
      <c r="A318" s="8"/>
      <c r="N318" s="8"/>
    </row>
    <row r="319" spans="1:14" ht="16.5" customHeight="1">
      <c r="A319" s="8"/>
      <c r="N319" s="8"/>
    </row>
    <row r="320" spans="1:14" ht="16.5" customHeight="1">
      <c r="A320" s="8"/>
      <c r="N320" s="8"/>
    </row>
    <row r="321" spans="1:14" ht="16.5" customHeight="1">
      <c r="A321" s="8"/>
      <c r="N321" s="8"/>
    </row>
    <row r="322" spans="1:14" ht="16.5" customHeight="1">
      <c r="A322" s="8"/>
      <c r="N322" s="8"/>
    </row>
    <row r="323" spans="1:14" ht="16.5" customHeight="1">
      <c r="A323" s="8"/>
      <c r="N323" s="8"/>
    </row>
    <row r="324" spans="1:14" ht="16.5" customHeight="1">
      <c r="A324" s="8"/>
      <c r="N324" s="8"/>
    </row>
    <row r="325" spans="1:14" ht="16.5" customHeight="1">
      <c r="A325" s="8"/>
      <c r="N325" s="8"/>
    </row>
    <row r="326" spans="1:14" ht="16.5" customHeight="1">
      <c r="A326" s="8"/>
      <c r="N326" s="8"/>
    </row>
    <row r="327" spans="1:14" ht="16.5" customHeight="1">
      <c r="A327" s="8"/>
      <c r="N327" s="8"/>
    </row>
    <row r="328" spans="1:14" ht="16.5" customHeight="1">
      <c r="A328" s="8"/>
      <c r="N328" s="8"/>
    </row>
    <row r="329" spans="1:14" ht="16.5" customHeight="1">
      <c r="A329" s="8"/>
      <c r="N329" s="8"/>
    </row>
    <row r="330" spans="1:14" ht="16.5" customHeight="1">
      <c r="A330" s="8"/>
      <c r="N330" s="8"/>
    </row>
    <row r="331" spans="1:14" ht="16.5" customHeight="1">
      <c r="A331" s="8"/>
      <c r="N331" s="8"/>
    </row>
    <row r="332" spans="1:14" ht="16.5" customHeight="1">
      <c r="A332" s="8"/>
      <c r="N332" s="8"/>
    </row>
    <row r="333" spans="1:14" ht="16.5" customHeight="1">
      <c r="A333" s="8"/>
      <c r="N333" s="8"/>
    </row>
    <row r="334" spans="1:14" ht="16.5" customHeight="1">
      <c r="A334" s="8"/>
      <c r="N334" s="8"/>
    </row>
    <row r="335" spans="1:14" ht="16.5" customHeight="1">
      <c r="A335" s="8"/>
      <c r="N335" s="8"/>
    </row>
    <row r="336" spans="1:14" ht="16.5" customHeight="1">
      <c r="A336" s="8"/>
      <c r="N336" s="8"/>
    </row>
    <row r="337" spans="1:14" ht="16.5" customHeight="1">
      <c r="A337" s="8"/>
      <c r="N337" s="8"/>
    </row>
    <row r="338" spans="1:14" ht="16.5" customHeight="1">
      <c r="A338" s="8"/>
      <c r="N338" s="8"/>
    </row>
    <row r="339" spans="1:14" ht="16.5" customHeight="1">
      <c r="A339" s="8"/>
      <c r="N339" s="8"/>
    </row>
    <row r="340" spans="1:14" ht="16.5" customHeight="1">
      <c r="A340" s="8"/>
      <c r="N340" s="8"/>
    </row>
    <row r="341" spans="1:14" ht="16.5" customHeight="1">
      <c r="A341" s="8"/>
      <c r="N341" s="8"/>
    </row>
    <row r="342" spans="1:14" ht="16.5" customHeight="1">
      <c r="A342" s="8"/>
      <c r="N342" s="8"/>
    </row>
    <row r="343" spans="1:14" ht="16.5" customHeight="1">
      <c r="A343" s="8"/>
      <c r="N343" s="8"/>
    </row>
    <row r="344" spans="1:14" ht="16.5" customHeight="1">
      <c r="A344" s="8"/>
      <c r="N344" s="8"/>
    </row>
    <row r="345" spans="1:14" ht="16.5" customHeight="1">
      <c r="A345" s="8"/>
      <c r="N345" s="8"/>
    </row>
    <row r="346" spans="1:14" ht="16.5" customHeight="1">
      <c r="A346" s="8"/>
      <c r="N346" s="8"/>
    </row>
    <row r="347" spans="1:14" ht="16.5" customHeight="1">
      <c r="A347" s="8"/>
      <c r="N347" s="8"/>
    </row>
    <row r="348" spans="1:14" ht="16.5" customHeight="1">
      <c r="A348" s="8"/>
      <c r="N348" s="8"/>
    </row>
    <row r="349" spans="1:14" ht="16.5" customHeight="1">
      <c r="A349" s="8"/>
      <c r="N349" s="8"/>
    </row>
    <row r="350" spans="1:14" ht="16.5" customHeight="1">
      <c r="A350" s="8"/>
      <c r="N350" s="8"/>
    </row>
    <row r="351" spans="1:14" ht="16.5" customHeight="1">
      <c r="A351" s="8"/>
      <c r="N351" s="8"/>
    </row>
    <row r="352" spans="1:14" ht="16.5" customHeight="1">
      <c r="A352" s="8"/>
      <c r="N352" s="8"/>
    </row>
    <row r="353" spans="1:14" ht="16.5" customHeight="1">
      <c r="A353" s="8"/>
      <c r="N353" s="8"/>
    </row>
    <row r="354" spans="1:14" ht="16.5" customHeight="1">
      <c r="A354" s="8"/>
      <c r="N354" s="8"/>
    </row>
    <row r="355" spans="1:14" ht="16.5" customHeight="1">
      <c r="A355" s="8"/>
      <c r="N355" s="8"/>
    </row>
    <row r="356" spans="1:14" ht="16.5" customHeight="1">
      <c r="A356" s="8"/>
      <c r="N356" s="8"/>
    </row>
    <row r="357" spans="1:14" ht="16.5" customHeight="1">
      <c r="A357" s="8"/>
      <c r="N357" s="8"/>
    </row>
    <row r="358" spans="1:14" ht="16.5" customHeight="1">
      <c r="A358" s="8"/>
      <c r="N358" s="8"/>
    </row>
    <row r="359" spans="1:14" ht="16.5" customHeight="1">
      <c r="A359" s="8"/>
      <c r="N359" s="8"/>
    </row>
    <row r="360" spans="1:14" ht="16.5" customHeight="1">
      <c r="A360" s="8"/>
      <c r="N360" s="8"/>
    </row>
    <row r="361" spans="1:14" ht="16.5" customHeight="1">
      <c r="A361" s="8"/>
      <c r="N361" s="8"/>
    </row>
    <row r="362" spans="1:14" ht="16.5" customHeight="1">
      <c r="A362" s="8"/>
      <c r="N362" s="8"/>
    </row>
    <row r="363" spans="1:14" ht="16.5" customHeight="1">
      <c r="A363" s="8"/>
      <c r="N363" s="8"/>
    </row>
    <row r="364" spans="1:14" ht="16.5" customHeight="1">
      <c r="A364" s="8"/>
      <c r="N364" s="8"/>
    </row>
    <row r="365" spans="1:14" ht="16.5" customHeight="1">
      <c r="A365" s="8"/>
      <c r="N365" s="8"/>
    </row>
    <row r="366" spans="1:14" ht="16.5" customHeight="1">
      <c r="A366" s="8"/>
      <c r="N366" s="8"/>
    </row>
    <row r="367" spans="1:14" ht="16.5" customHeight="1">
      <c r="A367" s="8"/>
      <c r="N367" s="8"/>
    </row>
    <row r="368" spans="1:14" ht="16.5" customHeight="1">
      <c r="A368" s="8"/>
      <c r="N368" s="8"/>
    </row>
    <row r="369" spans="1:14" ht="16.5" customHeight="1">
      <c r="A369" s="8"/>
      <c r="N369" s="8"/>
    </row>
    <row r="370" spans="1:14" ht="16.5" customHeight="1">
      <c r="A370" s="8"/>
      <c r="N370" s="8"/>
    </row>
    <row r="371" spans="1:14" ht="16.5" customHeight="1">
      <c r="A371" s="8"/>
      <c r="N371" s="8"/>
    </row>
    <row r="372" spans="1:14" ht="16.5" customHeight="1">
      <c r="A372" s="8"/>
      <c r="N372" s="8"/>
    </row>
    <row r="373" spans="1:14" ht="16.5" customHeight="1">
      <c r="A373" s="8"/>
      <c r="N373" s="8"/>
    </row>
    <row r="374" spans="1:14" ht="16.5" customHeight="1">
      <c r="A374" s="8"/>
      <c r="N374" s="8"/>
    </row>
    <row r="375" spans="1:14" ht="16.5" customHeight="1">
      <c r="A375" s="8"/>
      <c r="N375" s="8"/>
    </row>
    <row r="376" spans="1:14" ht="16.5" customHeight="1">
      <c r="A376" s="8"/>
      <c r="N376" s="8"/>
    </row>
    <row r="377" spans="1:14" ht="16.5" customHeight="1">
      <c r="A377" s="8"/>
      <c r="N377" s="8"/>
    </row>
    <row r="378" spans="1:14" ht="16.5" customHeight="1">
      <c r="A378" s="8"/>
      <c r="N378" s="8"/>
    </row>
    <row r="379" spans="1:14" ht="16.5" customHeight="1">
      <c r="A379" s="8"/>
      <c r="N379" s="8"/>
    </row>
    <row r="380" spans="1:14" ht="16.5" customHeight="1">
      <c r="A380" s="8"/>
      <c r="N380" s="8"/>
    </row>
    <row r="381" spans="1:14" ht="16.5" customHeight="1">
      <c r="A381" s="8"/>
      <c r="N381" s="8"/>
    </row>
    <row r="382" spans="1:14" ht="16.5" customHeight="1">
      <c r="A382" s="8"/>
      <c r="N382" s="8"/>
    </row>
    <row r="383" spans="1:14" ht="16.5" customHeight="1">
      <c r="A383" s="8"/>
      <c r="N383" s="8"/>
    </row>
    <row r="384" spans="1:14" ht="16.5" customHeight="1">
      <c r="A384" s="8"/>
      <c r="N384" s="8"/>
    </row>
    <row r="385" spans="1:14" ht="16.5" customHeight="1">
      <c r="A385" s="8"/>
      <c r="N385" s="8"/>
    </row>
    <row r="386" spans="1:14" ht="16.5" customHeight="1">
      <c r="A386" s="8"/>
      <c r="N386" s="8"/>
    </row>
    <row r="387" spans="1:14" ht="16.5" customHeight="1">
      <c r="A387" s="8"/>
      <c r="N387" s="8"/>
    </row>
    <row r="388" spans="1:14" ht="16.5" customHeight="1">
      <c r="A388" s="8"/>
      <c r="N388" s="8"/>
    </row>
    <row r="389" spans="1:14" ht="16.5" customHeight="1">
      <c r="A389" s="8"/>
      <c r="N389" s="8"/>
    </row>
    <row r="390" spans="1:14" ht="16.5" customHeight="1">
      <c r="A390" s="8"/>
      <c r="N390" s="8"/>
    </row>
    <row r="391" spans="1:14" ht="16.5" customHeight="1">
      <c r="A391" s="8"/>
      <c r="N391" s="8"/>
    </row>
    <row r="392" spans="1:14" ht="16.5" customHeight="1">
      <c r="A392" s="8"/>
      <c r="N392" s="8"/>
    </row>
    <row r="393" spans="1:14" ht="16.5" customHeight="1">
      <c r="A393" s="8"/>
      <c r="N393" s="8"/>
    </row>
    <row r="394" spans="1:14" ht="16.5" customHeight="1">
      <c r="A394" s="8"/>
      <c r="N394" s="8"/>
    </row>
    <row r="395" spans="1:14" ht="16.5" customHeight="1">
      <c r="A395" s="8"/>
      <c r="N395" s="8"/>
    </row>
    <row r="396" spans="1:14" ht="16.5" customHeight="1">
      <c r="A396" s="8"/>
      <c r="N396" s="8"/>
    </row>
    <row r="397" spans="1:14" ht="16.5" customHeight="1">
      <c r="A397" s="8"/>
      <c r="N397" s="8"/>
    </row>
    <row r="398" spans="1:14" ht="16.5" customHeight="1">
      <c r="A398" s="8"/>
      <c r="N398" s="8"/>
    </row>
    <row r="399" spans="1:14" ht="16.5" customHeight="1">
      <c r="A399" s="8"/>
      <c r="N399" s="8"/>
    </row>
    <row r="400" spans="1:14" ht="16.5" customHeight="1">
      <c r="A400" s="8"/>
      <c r="N400" s="8"/>
    </row>
    <row r="401" spans="1:14" ht="16.5" customHeight="1">
      <c r="A401" s="8"/>
      <c r="N401" s="8"/>
    </row>
    <row r="402" spans="1:14" ht="16.5" customHeight="1">
      <c r="A402" s="8"/>
      <c r="N402" s="8"/>
    </row>
    <row r="403" spans="1:14" ht="16.5" customHeight="1">
      <c r="A403" s="8"/>
      <c r="N403" s="8"/>
    </row>
    <row r="404" spans="1:14" ht="16.5" customHeight="1">
      <c r="A404" s="8"/>
      <c r="N404" s="8"/>
    </row>
    <row r="405" spans="1:14" ht="16.5" customHeight="1">
      <c r="A405" s="8"/>
      <c r="N405" s="8"/>
    </row>
    <row r="406" spans="1:14" ht="16.5" customHeight="1">
      <c r="A406" s="8"/>
      <c r="N406" s="8"/>
    </row>
    <row r="407" spans="1:14" ht="16.5" customHeight="1">
      <c r="A407" s="8"/>
      <c r="N407" s="8"/>
    </row>
    <row r="408" spans="1:14" ht="16.5" customHeight="1">
      <c r="A408" s="8"/>
      <c r="N408" s="8"/>
    </row>
    <row r="409" spans="1:14" ht="16.5" customHeight="1">
      <c r="A409" s="8"/>
      <c r="N409" s="8"/>
    </row>
    <row r="410" spans="1:14" ht="16.5" customHeight="1">
      <c r="A410" s="8"/>
      <c r="N410" s="8"/>
    </row>
    <row r="411" spans="1:14" ht="16.5" customHeight="1">
      <c r="A411" s="8"/>
      <c r="N411" s="8"/>
    </row>
    <row r="412" spans="1:14" ht="16.5" customHeight="1">
      <c r="A412" s="8"/>
      <c r="N412" s="8"/>
    </row>
    <row r="413" spans="1:14" ht="16.5" customHeight="1">
      <c r="A413" s="8"/>
      <c r="N413" s="8"/>
    </row>
    <row r="414" spans="1:14" ht="16.5" customHeight="1">
      <c r="A414" s="8"/>
      <c r="N414" s="8"/>
    </row>
    <row r="415" spans="1:14" ht="16.5" customHeight="1">
      <c r="A415" s="8"/>
      <c r="N415" s="8"/>
    </row>
    <row r="416" spans="1:14" ht="16.5" customHeight="1">
      <c r="A416" s="8"/>
      <c r="N416" s="8"/>
    </row>
    <row r="417" spans="1:14" ht="16.5" customHeight="1">
      <c r="A417" s="8"/>
      <c r="N417" s="8"/>
    </row>
    <row r="418" spans="1:14" ht="16.5" customHeight="1">
      <c r="A418" s="8"/>
      <c r="N418" s="8"/>
    </row>
    <row r="419" spans="1:14" ht="16.5" customHeight="1">
      <c r="A419" s="8"/>
      <c r="N419" s="8"/>
    </row>
    <row r="420" spans="1:14" ht="16.5" customHeight="1">
      <c r="A420" s="8"/>
      <c r="N420" s="8"/>
    </row>
    <row r="421" spans="1:14" ht="16.5" customHeight="1">
      <c r="A421" s="8"/>
      <c r="N421" s="8"/>
    </row>
    <row r="422" spans="1:14" ht="16.5" customHeight="1">
      <c r="A422" s="8"/>
      <c r="N422" s="8"/>
    </row>
    <row r="423" spans="1:14" ht="16.5" customHeight="1">
      <c r="A423" s="8"/>
      <c r="N423" s="8"/>
    </row>
    <row r="424" spans="1:14" ht="16.5" customHeight="1">
      <c r="A424" s="8"/>
      <c r="N424" s="8"/>
    </row>
    <row r="425" spans="1:14" ht="16.5" customHeight="1">
      <c r="A425" s="8"/>
      <c r="N425" s="8"/>
    </row>
    <row r="426" spans="1:14" ht="16.5" customHeight="1">
      <c r="A426" s="8"/>
      <c r="N426" s="8"/>
    </row>
    <row r="427" spans="1:14" ht="16.5" customHeight="1">
      <c r="A427" s="8"/>
      <c r="N427" s="8"/>
    </row>
    <row r="428" spans="1:14" ht="16.5" customHeight="1">
      <c r="A428" s="8"/>
      <c r="N428" s="8"/>
    </row>
    <row r="429" spans="1:14" ht="16.5" customHeight="1">
      <c r="A429" s="8"/>
      <c r="N429" s="8"/>
    </row>
    <row r="430" spans="1:14" ht="16.5" customHeight="1">
      <c r="A430" s="8"/>
      <c r="N430" s="8"/>
    </row>
    <row r="431" spans="1:14" ht="16.5" customHeight="1">
      <c r="A431" s="8"/>
      <c r="N431" s="8"/>
    </row>
    <row r="432" spans="1:14" ht="16.5" customHeight="1">
      <c r="A432" s="8"/>
      <c r="N432" s="8"/>
    </row>
    <row r="433" spans="1:14" ht="16.5" customHeight="1">
      <c r="A433" s="8"/>
      <c r="N433" s="8"/>
    </row>
    <row r="434" spans="1:14" ht="16.5" customHeight="1">
      <c r="A434" s="8"/>
      <c r="N434" s="8"/>
    </row>
    <row r="435" spans="1:14" ht="16.5" customHeight="1">
      <c r="A435" s="8"/>
      <c r="N435" s="8"/>
    </row>
    <row r="436" spans="1:14" ht="16.5" customHeight="1">
      <c r="A436" s="8"/>
      <c r="N436" s="8"/>
    </row>
    <row r="437" spans="1:14" ht="16.5" customHeight="1">
      <c r="A437" s="8"/>
      <c r="N437" s="8"/>
    </row>
    <row r="438" spans="1:14" ht="16.5" customHeight="1">
      <c r="A438" s="8"/>
      <c r="N438" s="8"/>
    </row>
    <row r="439" spans="1:14" ht="16.5" customHeight="1">
      <c r="A439" s="8"/>
      <c r="N439" s="8"/>
    </row>
    <row r="440" spans="1:14" ht="16.5" customHeight="1">
      <c r="A440" s="8"/>
      <c r="N440" s="8"/>
    </row>
    <row r="441" spans="1:14" ht="16.5" customHeight="1">
      <c r="A441" s="8"/>
      <c r="N441" s="8"/>
    </row>
    <row r="442" spans="1:14" ht="16.5" customHeight="1">
      <c r="A442" s="8"/>
      <c r="N442" s="8"/>
    </row>
    <row r="443" spans="1:14" ht="16.5" customHeight="1">
      <c r="A443" s="8"/>
      <c r="N443" s="8"/>
    </row>
    <row r="444" spans="1:14" ht="16.5" customHeight="1">
      <c r="A444" s="8"/>
      <c r="N444" s="8"/>
    </row>
    <row r="445" spans="1:14" ht="16.5" customHeight="1">
      <c r="A445" s="8"/>
      <c r="N445" s="8"/>
    </row>
    <row r="446" spans="1:14" ht="16.5" customHeight="1">
      <c r="A446" s="8"/>
      <c r="N446" s="8"/>
    </row>
    <row r="447" spans="1:14" ht="16.5" customHeight="1">
      <c r="A447" s="8"/>
      <c r="N447" s="8"/>
    </row>
    <row r="448" spans="1:14" ht="16.5" customHeight="1">
      <c r="A448" s="8"/>
      <c r="N448" s="8"/>
    </row>
    <row r="449" spans="1:14" ht="16.5" customHeight="1">
      <c r="A449" s="8"/>
      <c r="N449" s="8"/>
    </row>
    <row r="450" spans="1:14" ht="16.5" customHeight="1">
      <c r="A450" s="8"/>
      <c r="N450" s="8"/>
    </row>
    <row r="451" spans="1:14" ht="16.5" customHeight="1">
      <c r="A451" s="8"/>
      <c r="N451" s="8"/>
    </row>
    <row r="452" spans="1:14" ht="16.5" customHeight="1">
      <c r="A452" s="8"/>
      <c r="N452" s="8"/>
    </row>
    <row r="453" spans="1:14" ht="16.5" customHeight="1">
      <c r="A453" s="8"/>
      <c r="N453" s="8"/>
    </row>
    <row r="454" spans="1:14" ht="16.5" customHeight="1">
      <c r="A454" s="8"/>
      <c r="N454" s="8"/>
    </row>
    <row r="455" spans="1:14" ht="16.5" customHeight="1">
      <c r="A455" s="8"/>
      <c r="N455" s="8"/>
    </row>
    <row r="456" spans="1:14" ht="16.5" customHeight="1">
      <c r="A456" s="8"/>
      <c r="N456" s="8"/>
    </row>
    <row r="457" spans="1:14" ht="16.5" customHeight="1">
      <c r="A457" s="8"/>
      <c r="N457" s="8"/>
    </row>
    <row r="458" spans="1:14" ht="16.5" customHeight="1">
      <c r="A458" s="8"/>
      <c r="N458" s="8"/>
    </row>
    <row r="459" spans="1:14" ht="16.5" customHeight="1">
      <c r="A459" s="8"/>
      <c r="N459" s="8"/>
    </row>
    <row r="460" spans="1:14" ht="16.5" customHeight="1">
      <c r="A460" s="8"/>
      <c r="N460" s="8"/>
    </row>
    <row r="461" spans="1:14" ht="16.5" customHeight="1">
      <c r="A461" s="8"/>
      <c r="N461" s="8"/>
    </row>
    <row r="462" spans="1:14" ht="16.5" customHeight="1">
      <c r="A462" s="8"/>
      <c r="N462" s="8"/>
    </row>
    <row r="463" spans="1:14" ht="16.5" customHeight="1">
      <c r="A463" s="8"/>
      <c r="N463" s="8"/>
    </row>
    <row r="464" spans="1:14" ht="16.5" customHeight="1">
      <c r="A464" s="8"/>
      <c r="N464" s="8"/>
    </row>
    <row r="465" spans="1:14" ht="16.5" customHeight="1">
      <c r="A465" s="8"/>
      <c r="N465" s="8"/>
    </row>
    <row r="466" spans="1:14" ht="16.5" customHeight="1">
      <c r="A466" s="8"/>
      <c r="N466" s="8"/>
    </row>
    <row r="467" spans="1:14" ht="16.5" customHeight="1">
      <c r="A467" s="8"/>
      <c r="N467" s="8"/>
    </row>
    <row r="468" spans="1:14" ht="16.5" customHeight="1">
      <c r="A468" s="8"/>
      <c r="N468" s="8"/>
    </row>
    <row r="469" spans="1:14" ht="16.5" customHeight="1">
      <c r="A469" s="8"/>
      <c r="N469" s="8"/>
    </row>
    <row r="470" spans="1:14" ht="16.5" customHeight="1">
      <c r="A470" s="8"/>
      <c r="N470" s="8"/>
    </row>
    <row r="471" spans="1:14" ht="16.5" customHeight="1">
      <c r="A471" s="8"/>
      <c r="N471" s="8"/>
    </row>
    <row r="472" spans="1:14" ht="16.5" customHeight="1">
      <c r="A472" s="8"/>
      <c r="N472" s="8"/>
    </row>
    <row r="473" spans="1:14" ht="16.5" customHeight="1">
      <c r="A473" s="8"/>
      <c r="N473" s="8"/>
    </row>
    <row r="474" spans="1:14" ht="16.5" customHeight="1">
      <c r="A474" s="8"/>
      <c r="N474" s="8"/>
    </row>
    <row r="475" spans="1:14" ht="16.5" customHeight="1">
      <c r="A475" s="8"/>
      <c r="N475" s="8"/>
    </row>
    <row r="476" spans="1:14" ht="16.5" customHeight="1">
      <c r="A476" s="8"/>
      <c r="N476" s="8"/>
    </row>
    <row r="477" spans="1:14" ht="16.5" customHeight="1">
      <c r="A477" s="8"/>
      <c r="N477" s="8"/>
    </row>
    <row r="478" spans="1:14" ht="16.5" customHeight="1">
      <c r="A478" s="8"/>
      <c r="N478" s="8"/>
    </row>
    <row r="479" spans="1:14" ht="16.5" customHeight="1">
      <c r="A479" s="8"/>
      <c r="N479" s="8"/>
    </row>
    <row r="480" spans="1:14" ht="16.5" customHeight="1">
      <c r="A480" s="8"/>
      <c r="N480" s="8"/>
    </row>
    <row r="481" spans="1:14" ht="16.5" customHeight="1">
      <c r="A481" s="8"/>
      <c r="N481" s="8"/>
    </row>
    <row r="482" spans="1:14" ht="16.5" customHeight="1">
      <c r="A482" s="8"/>
      <c r="N482" s="8"/>
    </row>
    <row r="483" spans="1:14" ht="16.5" customHeight="1">
      <c r="A483" s="8"/>
      <c r="N483" s="8"/>
    </row>
    <row r="484" spans="1:14" ht="16.5" customHeight="1">
      <c r="A484" s="8"/>
      <c r="N484" s="8"/>
    </row>
    <row r="485" spans="1:14" ht="16.5" customHeight="1">
      <c r="A485" s="8"/>
      <c r="N485" s="8"/>
    </row>
    <row r="486" spans="1:14" ht="16.5" customHeight="1">
      <c r="A486" s="8"/>
      <c r="N486" s="8"/>
    </row>
    <row r="487" spans="1:14" ht="16.5" customHeight="1">
      <c r="A487" s="8"/>
      <c r="N487" s="8"/>
    </row>
    <row r="488" spans="1:14" ht="16.5" customHeight="1">
      <c r="A488" s="8"/>
      <c r="N488" s="8"/>
    </row>
    <row r="489" spans="1:14" ht="16.5" customHeight="1">
      <c r="A489" s="8"/>
      <c r="N489" s="8"/>
    </row>
    <row r="490" spans="1:14" ht="16.5" customHeight="1">
      <c r="A490" s="8"/>
      <c r="N490" s="8"/>
    </row>
    <row r="491" spans="1:14" ht="16.5" customHeight="1">
      <c r="A491" s="8"/>
      <c r="N491" s="8"/>
    </row>
    <row r="492" spans="1:14" ht="16.5" customHeight="1">
      <c r="A492" s="8"/>
      <c r="N492" s="8"/>
    </row>
    <row r="493" spans="1:14" ht="16.5" customHeight="1">
      <c r="A493" s="8"/>
      <c r="N493" s="8"/>
    </row>
    <row r="494" spans="1:14" ht="16.5" customHeight="1">
      <c r="A494" s="8"/>
      <c r="N494" s="8"/>
    </row>
    <row r="495" spans="1:14" ht="16.5" customHeight="1">
      <c r="A495" s="8"/>
      <c r="N495" s="8"/>
    </row>
    <row r="496" spans="1:14" ht="16.5" customHeight="1">
      <c r="A496" s="8"/>
      <c r="N496" s="8"/>
    </row>
    <row r="497" spans="1:14" ht="16.5" customHeight="1">
      <c r="A497" s="8"/>
      <c r="N497" s="8"/>
    </row>
    <row r="498" spans="1:14" ht="16.5" customHeight="1">
      <c r="A498" s="8"/>
      <c r="N498" s="8"/>
    </row>
    <row r="499" spans="1:14" ht="16.5" customHeight="1">
      <c r="A499" s="8"/>
      <c r="N499" s="8"/>
    </row>
    <row r="500" spans="1:14" ht="16.5" customHeight="1">
      <c r="A500" s="8"/>
      <c r="N500" s="8"/>
    </row>
    <row r="501" spans="1:14" ht="16.5" customHeight="1">
      <c r="A501" s="8"/>
      <c r="N501" s="8"/>
    </row>
    <row r="502" spans="1:14" ht="16.5" customHeight="1">
      <c r="A502" s="8"/>
      <c r="N502" s="8"/>
    </row>
    <row r="503" spans="1:14" ht="16.5" customHeight="1">
      <c r="A503" s="8"/>
      <c r="N503" s="8"/>
    </row>
    <row r="504" spans="1:14" ht="16.5" customHeight="1">
      <c r="A504" s="8"/>
      <c r="N504" s="8"/>
    </row>
    <row r="505" spans="1:14" ht="16.5" customHeight="1">
      <c r="A505" s="8"/>
      <c r="N505" s="8"/>
    </row>
    <row r="506" spans="1:14" ht="16.5" customHeight="1">
      <c r="A506" s="8"/>
      <c r="N506" s="8"/>
    </row>
    <row r="507" spans="1:14" ht="16.5" customHeight="1">
      <c r="A507" s="8"/>
      <c r="N507" s="8"/>
    </row>
    <row r="508" spans="1:14" ht="16.5" customHeight="1">
      <c r="A508" s="8"/>
      <c r="N508" s="8"/>
    </row>
    <row r="509" spans="1:14" ht="16.5" customHeight="1">
      <c r="A509" s="8"/>
      <c r="N509" s="8"/>
    </row>
    <row r="510" spans="1:14" ht="16.5" customHeight="1">
      <c r="A510" s="8"/>
      <c r="N510" s="8"/>
    </row>
    <row r="511" spans="1:14" ht="16.5" customHeight="1">
      <c r="A511" s="8"/>
      <c r="N511" s="8"/>
    </row>
    <row r="512" spans="1:14" ht="16.5" customHeight="1">
      <c r="A512" s="8"/>
      <c r="N512" s="8"/>
    </row>
    <row r="513" spans="1:14" ht="16.5" customHeight="1">
      <c r="A513" s="8"/>
      <c r="N513" s="8"/>
    </row>
    <row r="514" spans="1:14" ht="16.5" customHeight="1">
      <c r="A514" s="8"/>
      <c r="N514" s="8"/>
    </row>
    <row r="515" spans="1:14" ht="16.5" customHeight="1">
      <c r="A515" s="8"/>
      <c r="N515" s="8"/>
    </row>
    <row r="516" spans="1:14" ht="16.5" customHeight="1">
      <c r="A516" s="8"/>
      <c r="N516" s="8"/>
    </row>
    <row r="517" spans="1:14" ht="16.5" customHeight="1">
      <c r="A517" s="8"/>
      <c r="N517" s="8"/>
    </row>
    <row r="518" spans="1:14" ht="16.5" customHeight="1">
      <c r="A518" s="8"/>
      <c r="N518" s="8"/>
    </row>
    <row r="519" spans="1:14" ht="16.5" customHeight="1">
      <c r="A519" s="8"/>
      <c r="N519" s="8"/>
    </row>
    <row r="520" spans="1:14" ht="16.5" customHeight="1">
      <c r="A520" s="8"/>
      <c r="N520" s="8"/>
    </row>
    <row r="521" spans="1:14" ht="16.5" customHeight="1">
      <c r="A521" s="8"/>
      <c r="N521" s="8"/>
    </row>
    <row r="522" spans="1:14" ht="16.5" customHeight="1">
      <c r="A522" s="8"/>
      <c r="N522" s="8"/>
    </row>
    <row r="523" spans="1:14" ht="16.5" customHeight="1">
      <c r="A523" s="8"/>
      <c r="N523" s="8"/>
    </row>
    <row r="524" spans="1:14" ht="16.5" customHeight="1">
      <c r="A524" s="8"/>
      <c r="N524" s="8"/>
    </row>
    <row r="525" spans="1:14" ht="16.5" customHeight="1">
      <c r="A525" s="8"/>
      <c r="N525" s="8"/>
    </row>
    <row r="526" spans="1:14" ht="16.5" customHeight="1">
      <c r="A526" s="8"/>
      <c r="N526" s="8"/>
    </row>
    <row r="527" spans="1:14" ht="16.5" customHeight="1">
      <c r="A527" s="8"/>
      <c r="N527" s="8"/>
    </row>
    <row r="528" spans="1:14" ht="16.5" customHeight="1">
      <c r="A528" s="8"/>
      <c r="N528" s="8"/>
    </row>
    <row r="529" spans="1:14" ht="16.5" customHeight="1">
      <c r="A529" s="8"/>
      <c r="N529" s="8"/>
    </row>
    <row r="530" spans="1:14" ht="16.5" customHeight="1">
      <c r="A530" s="8"/>
      <c r="N530" s="8"/>
    </row>
    <row r="531" spans="1:14" ht="16.5" customHeight="1">
      <c r="A531" s="8"/>
      <c r="N531" s="8"/>
    </row>
    <row r="532" spans="1:14" ht="16.5" customHeight="1">
      <c r="A532" s="8"/>
      <c r="N532" s="8"/>
    </row>
    <row r="533" spans="1:14" ht="16.5" customHeight="1">
      <c r="A533" s="8"/>
      <c r="N533" s="8"/>
    </row>
    <row r="534" spans="1:14" ht="16.5" customHeight="1">
      <c r="A534" s="8"/>
      <c r="N534" s="8"/>
    </row>
    <row r="535" spans="1:14" ht="16.5" customHeight="1">
      <c r="A535" s="8"/>
      <c r="N535" s="8"/>
    </row>
    <row r="536" spans="1:14" ht="16.5" customHeight="1">
      <c r="A536" s="8"/>
      <c r="N536" s="8"/>
    </row>
    <row r="537" spans="1:14" ht="16.5" customHeight="1">
      <c r="A537" s="8"/>
      <c r="N537" s="8"/>
    </row>
    <row r="538" spans="1:14" ht="16.5" customHeight="1">
      <c r="A538" s="8"/>
      <c r="N538" s="8"/>
    </row>
    <row r="539" spans="1:14" ht="16.5" customHeight="1">
      <c r="A539" s="8"/>
      <c r="N539" s="8"/>
    </row>
    <row r="540" spans="1:14" ht="16.5" customHeight="1">
      <c r="A540" s="8"/>
      <c r="N540" s="8"/>
    </row>
    <row r="541" spans="1:14" ht="16.5" customHeight="1">
      <c r="A541" s="8"/>
      <c r="N541" s="8"/>
    </row>
    <row r="542" spans="1:14" ht="16.5" customHeight="1">
      <c r="A542" s="8"/>
      <c r="N542" s="8"/>
    </row>
    <row r="543" spans="1:14" ht="16.5" customHeight="1">
      <c r="A543" s="8"/>
      <c r="N543" s="8"/>
    </row>
    <row r="544" spans="1:14" ht="16.5" customHeight="1">
      <c r="A544" s="8"/>
      <c r="N544" s="8"/>
    </row>
    <row r="545" spans="1:14" ht="16.5" customHeight="1">
      <c r="A545" s="8"/>
      <c r="N545" s="8"/>
    </row>
    <row r="546" spans="1:14" ht="16.5" customHeight="1">
      <c r="A546" s="8"/>
      <c r="N546" s="8"/>
    </row>
    <row r="547" spans="1:14" ht="16.5" customHeight="1">
      <c r="A547" s="8"/>
      <c r="N547" s="8"/>
    </row>
    <row r="548" spans="1:14" ht="16.5" customHeight="1">
      <c r="A548" s="8"/>
      <c r="N548" s="8"/>
    </row>
    <row r="549" spans="1:14" ht="16.5" customHeight="1">
      <c r="A549" s="8"/>
      <c r="N549" s="8"/>
    </row>
    <row r="550" spans="1:14" ht="16.5" customHeight="1">
      <c r="A550" s="8"/>
      <c r="N550" s="8"/>
    </row>
    <row r="551" spans="1:14" ht="16.5" customHeight="1">
      <c r="A551" s="8"/>
      <c r="N551" s="8"/>
    </row>
    <row r="552" spans="1:14" ht="16.5" customHeight="1">
      <c r="A552" s="8"/>
      <c r="N552" s="8"/>
    </row>
    <row r="553" spans="1:14" ht="16.5" customHeight="1">
      <c r="A553" s="8"/>
      <c r="N553" s="8"/>
    </row>
    <row r="554" spans="1:14" ht="16.5" customHeight="1">
      <c r="A554" s="8"/>
      <c r="N554" s="8"/>
    </row>
    <row r="555" spans="1:14" ht="16.5" customHeight="1">
      <c r="A555" s="8"/>
      <c r="N555" s="8"/>
    </row>
    <row r="556" spans="1:14" ht="16.5" customHeight="1">
      <c r="A556" s="8"/>
      <c r="N556" s="8"/>
    </row>
    <row r="557" spans="1:14" ht="16.5" customHeight="1">
      <c r="A557" s="8"/>
      <c r="N557" s="8"/>
    </row>
    <row r="558" spans="1:14" ht="16.5" customHeight="1">
      <c r="A558" s="8"/>
      <c r="N558" s="8"/>
    </row>
    <row r="559" spans="1:14" ht="16.5" customHeight="1">
      <c r="A559" s="8"/>
      <c r="N559" s="8"/>
    </row>
    <row r="560" spans="1:14" ht="16.5" customHeight="1">
      <c r="A560" s="8"/>
      <c r="N560" s="8"/>
    </row>
    <row r="561" spans="1:14" ht="16.5" customHeight="1">
      <c r="A561" s="8"/>
      <c r="N561" s="8"/>
    </row>
    <row r="562" spans="1:14" ht="16.5" customHeight="1">
      <c r="A562" s="8"/>
      <c r="N562" s="8"/>
    </row>
    <row r="563" spans="1:14" ht="16.5" customHeight="1">
      <c r="A563" s="8"/>
      <c r="N563" s="8"/>
    </row>
    <row r="564" spans="1:14" ht="16.5" customHeight="1">
      <c r="A564" s="8"/>
      <c r="N564" s="8"/>
    </row>
    <row r="565" spans="1:14" ht="16.5" customHeight="1">
      <c r="A565" s="8"/>
      <c r="N565" s="8"/>
    </row>
    <row r="566" spans="1:14" ht="16.5" customHeight="1">
      <c r="A566" s="8"/>
      <c r="N566" s="8"/>
    </row>
    <row r="567" spans="1:14" ht="16.5" customHeight="1">
      <c r="A567" s="8"/>
      <c r="N567" s="8"/>
    </row>
    <row r="568" spans="1:14" ht="16.5" customHeight="1">
      <c r="A568" s="8"/>
      <c r="N568" s="8"/>
    </row>
    <row r="569" spans="1:14" ht="16.5" customHeight="1">
      <c r="A569" s="8"/>
      <c r="N569" s="8"/>
    </row>
    <row r="570" spans="1:14" ht="16.5" customHeight="1">
      <c r="A570" s="8"/>
      <c r="N570" s="8"/>
    </row>
    <row r="571" spans="1:14" ht="16.5" customHeight="1">
      <c r="A571" s="8"/>
      <c r="N571" s="8"/>
    </row>
    <row r="572" spans="1:14" ht="16.5" customHeight="1">
      <c r="A572" s="8"/>
      <c r="N572" s="8"/>
    </row>
    <row r="573" spans="1:14" ht="16.5" customHeight="1">
      <c r="A573" s="8"/>
      <c r="N573" s="8"/>
    </row>
    <row r="574" spans="1:14" ht="16.5" customHeight="1">
      <c r="A574" s="8"/>
      <c r="N574" s="8"/>
    </row>
    <row r="575" spans="1:14" ht="16.5" customHeight="1">
      <c r="A575" s="8"/>
      <c r="N575" s="8"/>
    </row>
    <row r="576" spans="1:14" ht="16.5" customHeight="1">
      <c r="A576" s="8"/>
      <c r="N576" s="8"/>
    </row>
    <row r="577" spans="1:14" ht="16.5" customHeight="1">
      <c r="A577" s="8"/>
      <c r="N577" s="8"/>
    </row>
    <row r="578" spans="1:14" ht="16.5" customHeight="1">
      <c r="A578" s="8"/>
      <c r="N578" s="8"/>
    </row>
    <row r="579" spans="1:14" ht="16.5" customHeight="1">
      <c r="A579" s="8"/>
      <c r="N579" s="8"/>
    </row>
    <row r="580" spans="1:14" ht="16.5" customHeight="1">
      <c r="A580" s="8"/>
      <c r="N580" s="8"/>
    </row>
    <row r="581" spans="1:14" ht="16.5" customHeight="1">
      <c r="A581" s="8"/>
      <c r="N581" s="8"/>
    </row>
    <row r="582" spans="1:14" ht="16.5" customHeight="1">
      <c r="A582" s="8"/>
      <c r="N582" s="8"/>
    </row>
    <row r="583" spans="1:14" ht="16.5" customHeight="1">
      <c r="A583" s="8"/>
      <c r="N583" s="8"/>
    </row>
    <row r="584" spans="1:14" ht="16.5" customHeight="1">
      <c r="A584" s="8"/>
      <c r="N584" s="8"/>
    </row>
    <row r="585" spans="1:14" ht="16.5" customHeight="1">
      <c r="A585" s="8"/>
      <c r="N585" s="8"/>
    </row>
    <row r="586" spans="1:14" ht="16.5" customHeight="1">
      <c r="A586" s="8"/>
      <c r="N586" s="8"/>
    </row>
    <row r="587" spans="1:14" ht="16.5" customHeight="1">
      <c r="A587" s="8"/>
      <c r="N587" s="8"/>
    </row>
    <row r="588" spans="1:14" ht="16.5" customHeight="1">
      <c r="A588" s="8"/>
      <c r="N588" s="8"/>
    </row>
    <row r="589" spans="1:14" ht="16.5" customHeight="1">
      <c r="A589" s="8"/>
      <c r="N589" s="8"/>
    </row>
    <row r="590" spans="1:14" ht="16.5" customHeight="1">
      <c r="A590" s="8"/>
      <c r="N590" s="8"/>
    </row>
    <row r="591" spans="1:14" ht="16.5" customHeight="1">
      <c r="A591" s="8"/>
      <c r="N591" s="8"/>
    </row>
    <row r="592" spans="1:14" ht="16.5" customHeight="1">
      <c r="A592" s="8"/>
      <c r="N592" s="8"/>
    </row>
    <row r="593" spans="1:14" ht="16.5" customHeight="1">
      <c r="A593" s="8"/>
      <c r="N593" s="8"/>
    </row>
    <row r="594" spans="1:14" ht="16.5" customHeight="1">
      <c r="A594" s="8"/>
      <c r="N594" s="8"/>
    </row>
    <row r="595" spans="1:14" ht="16.5" customHeight="1">
      <c r="A595" s="8"/>
      <c r="N595" s="8"/>
    </row>
    <row r="596" spans="1:14" ht="16.5" customHeight="1">
      <c r="A596" s="8"/>
      <c r="N596" s="8"/>
    </row>
    <row r="597" spans="1:14" ht="16.5" customHeight="1">
      <c r="A597" s="8"/>
      <c r="N597" s="8"/>
    </row>
    <row r="598" spans="1:14" ht="16.5" customHeight="1">
      <c r="A598" s="8"/>
      <c r="N598" s="8"/>
    </row>
    <row r="599" spans="1:14" ht="16.5" customHeight="1">
      <c r="A599" s="8"/>
      <c r="N599" s="8"/>
    </row>
    <row r="600" spans="1:14" ht="16.5" customHeight="1">
      <c r="A600" s="8"/>
      <c r="N600" s="8"/>
    </row>
    <row r="601" spans="1:14" ht="16.5" customHeight="1">
      <c r="A601" s="8"/>
      <c r="N601" s="8"/>
    </row>
    <row r="602" spans="1:14" ht="16.5" customHeight="1">
      <c r="A602" s="8"/>
      <c r="N602" s="8"/>
    </row>
    <row r="603" spans="1:14" ht="16.5" customHeight="1">
      <c r="A603" s="8"/>
      <c r="N603" s="8"/>
    </row>
    <row r="604" spans="1:14" ht="16.5" customHeight="1">
      <c r="A604" s="8"/>
      <c r="N604" s="8"/>
    </row>
    <row r="605" spans="1:14" ht="16.5" customHeight="1">
      <c r="A605" s="8"/>
      <c r="N605" s="8"/>
    </row>
    <row r="606" spans="1:14" ht="16.5" customHeight="1">
      <c r="A606" s="8"/>
      <c r="N606" s="8"/>
    </row>
    <row r="607" spans="1:14" ht="16.5" customHeight="1">
      <c r="A607" s="8"/>
      <c r="N607" s="8"/>
    </row>
    <row r="608" spans="1:14" ht="16.5" customHeight="1">
      <c r="A608" s="8"/>
      <c r="N608" s="8"/>
    </row>
    <row r="609" spans="1:14" ht="16.5" customHeight="1">
      <c r="A609" s="8"/>
      <c r="N609" s="8"/>
    </row>
    <row r="610" spans="1:14" ht="16.5" customHeight="1">
      <c r="A610" s="8"/>
      <c r="N610" s="8"/>
    </row>
    <row r="611" spans="1:14" ht="16.5" customHeight="1">
      <c r="A611" s="8"/>
      <c r="N611" s="8"/>
    </row>
    <row r="612" spans="1:14" ht="16.5" customHeight="1">
      <c r="A612" s="8"/>
      <c r="N612" s="8"/>
    </row>
    <row r="613" spans="1:14" ht="16.5" customHeight="1">
      <c r="A613" s="8"/>
      <c r="N613" s="8"/>
    </row>
    <row r="614" spans="1:14" ht="16.5" customHeight="1">
      <c r="A614" s="8"/>
      <c r="N614" s="8"/>
    </row>
    <row r="615" spans="1:14" ht="16.5" customHeight="1">
      <c r="A615" s="8"/>
      <c r="N615" s="8"/>
    </row>
    <row r="616" spans="1:14" ht="16.5" customHeight="1">
      <c r="A616" s="8"/>
      <c r="N616" s="8"/>
    </row>
    <row r="617" spans="1:14" ht="16.5" customHeight="1">
      <c r="A617" s="8"/>
      <c r="N617" s="8"/>
    </row>
    <row r="618" spans="1:14" ht="16.5" customHeight="1">
      <c r="A618" s="8"/>
      <c r="N618" s="8"/>
    </row>
    <row r="619" spans="1:14" ht="16.5" customHeight="1">
      <c r="A619" s="8"/>
      <c r="N619" s="8"/>
    </row>
    <row r="620" spans="1:14" ht="16.5" customHeight="1">
      <c r="A620" s="8"/>
      <c r="N620" s="8"/>
    </row>
    <row r="621" spans="1:14" ht="16.5" customHeight="1">
      <c r="A621" s="8"/>
      <c r="N621" s="8"/>
    </row>
    <row r="622" spans="1:14" ht="16.5" customHeight="1">
      <c r="A622" s="8"/>
      <c r="N622" s="8"/>
    </row>
    <row r="623" spans="1:14" ht="16.5" customHeight="1">
      <c r="A623" s="8"/>
      <c r="N623" s="8"/>
    </row>
    <row r="624" spans="1:14" ht="16.5" customHeight="1">
      <c r="A624" s="8"/>
      <c r="N624" s="8"/>
    </row>
    <row r="625" spans="1:14" ht="16.5" customHeight="1">
      <c r="A625" s="8"/>
      <c r="N625" s="8"/>
    </row>
    <row r="626" spans="1:14" ht="16.5" customHeight="1">
      <c r="A626" s="8"/>
      <c r="N626" s="8"/>
    </row>
    <row r="627" spans="1:14" ht="16.5" customHeight="1">
      <c r="A627" s="8"/>
      <c r="N627" s="8"/>
    </row>
    <row r="628" spans="1:14" ht="16.5" customHeight="1">
      <c r="A628" s="8"/>
      <c r="N628" s="8"/>
    </row>
    <row r="629" spans="1:14" ht="16.5" customHeight="1">
      <c r="A629" s="8"/>
      <c r="N629" s="8"/>
    </row>
    <row r="630" spans="1:14" ht="16.5" customHeight="1">
      <c r="A630" s="8"/>
      <c r="N630" s="8"/>
    </row>
    <row r="631" spans="1:14" ht="16.5" customHeight="1">
      <c r="A631" s="8"/>
      <c r="N631" s="8"/>
    </row>
    <row r="632" spans="1:14" ht="16.5" customHeight="1">
      <c r="A632" s="8"/>
      <c r="N632" s="8"/>
    </row>
    <row r="633" spans="1:14" ht="16.5" customHeight="1">
      <c r="A633" s="8"/>
      <c r="N633" s="8"/>
    </row>
    <row r="634" spans="1:14" ht="16.5" customHeight="1">
      <c r="A634" s="8"/>
      <c r="N634" s="8"/>
    </row>
    <row r="635" spans="1:14" ht="16.5" customHeight="1">
      <c r="A635" s="8"/>
      <c r="N635" s="8"/>
    </row>
    <row r="636" spans="1:14" ht="16.5" customHeight="1">
      <c r="A636" s="8"/>
      <c r="N636" s="8"/>
    </row>
    <row r="637" spans="1:14" ht="16.5" customHeight="1">
      <c r="A637" s="8"/>
      <c r="N637" s="8"/>
    </row>
    <row r="638" spans="1:14" ht="16.5" customHeight="1">
      <c r="A638" s="8"/>
      <c r="N638" s="8"/>
    </row>
    <row r="639" spans="1:14" ht="16.5" customHeight="1">
      <c r="A639" s="8"/>
      <c r="N639" s="8"/>
    </row>
    <row r="640" spans="1:14" ht="16.5" customHeight="1">
      <c r="A640" s="8"/>
      <c r="N640" s="8"/>
    </row>
    <row r="641" spans="1:14" ht="16.5" customHeight="1">
      <c r="A641" s="8"/>
      <c r="N641" s="8"/>
    </row>
    <row r="642" spans="1:14" ht="16.5" customHeight="1">
      <c r="A642" s="8"/>
      <c r="N642" s="8"/>
    </row>
    <row r="643" spans="1:14" ht="16.5" customHeight="1">
      <c r="A643" s="8"/>
      <c r="N643" s="8"/>
    </row>
    <row r="644" spans="1:14" ht="16.5" customHeight="1">
      <c r="A644" s="8"/>
      <c r="N644" s="8"/>
    </row>
    <row r="645" spans="1:14" ht="16.5" customHeight="1">
      <c r="A645" s="8"/>
      <c r="N645" s="8"/>
    </row>
    <row r="646" spans="1:14" ht="16.5" customHeight="1">
      <c r="A646" s="8"/>
      <c r="N646" s="8"/>
    </row>
    <row r="647" spans="1:14" ht="16.5" customHeight="1">
      <c r="A647" s="8"/>
      <c r="N647" s="8"/>
    </row>
    <row r="648" spans="1:14" ht="16.5" customHeight="1">
      <c r="A648" s="8"/>
      <c r="N648" s="8"/>
    </row>
    <row r="649" spans="1:14" ht="16.5" customHeight="1">
      <c r="A649" s="8"/>
      <c r="N649" s="8"/>
    </row>
    <row r="650" spans="1:14" ht="16.5" customHeight="1">
      <c r="A650" s="8"/>
      <c r="N650" s="8"/>
    </row>
    <row r="651" spans="1:14" ht="16.5" customHeight="1">
      <c r="A651" s="8"/>
      <c r="N651" s="8"/>
    </row>
    <row r="652" spans="1:14" ht="16.5" customHeight="1">
      <c r="A652" s="8"/>
      <c r="N652" s="8"/>
    </row>
    <row r="653" spans="1:14" ht="16.5" customHeight="1">
      <c r="A653" s="8"/>
      <c r="N653" s="8"/>
    </row>
    <row r="654" spans="1:14" ht="16.5" customHeight="1">
      <c r="A654" s="8"/>
      <c r="N654" s="8"/>
    </row>
    <row r="655" spans="1:14" ht="16.5" customHeight="1">
      <c r="A655" s="8"/>
      <c r="N655" s="8"/>
    </row>
    <row r="656" spans="1:14" ht="16.5" customHeight="1">
      <c r="A656" s="8"/>
      <c r="N656" s="8"/>
    </row>
    <row r="657" spans="1:14" ht="16.5" customHeight="1">
      <c r="A657" s="8"/>
      <c r="N657" s="8"/>
    </row>
    <row r="658" spans="1:14" ht="16.5" customHeight="1">
      <c r="A658" s="8"/>
      <c r="N658" s="8"/>
    </row>
    <row r="659" spans="1:14" ht="16.5" customHeight="1">
      <c r="A659" s="8"/>
      <c r="N659" s="8"/>
    </row>
    <row r="660" spans="1:14" ht="16.5" customHeight="1">
      <c r="A660" s="8"/>
      <c r="N660" s="8"/>
    </row>
    <row r="661" spans="1:14" ht="16.5" customHeight="1">
      <c r="A661" s="8"/>
      <c r="N661" s="8"/>
    </row>
    <row r="662" spans="1:14" ht="16.5" customHeight="1">
      <c r="A662" s="8"/>
      <c r="N662" s="8"/>
    </row>
    <row r="663" spans="1:14" ht="16.5" customHeight="1">
      <c r="A663" s="8"/>
      <c r="N663" s="8"/>
    </row>
    <row r="664" spans="1:14" ht="16.5" customHeight="1">
      <c r="A664" s="8"/>
      <c r="N664" s="8"/>
    </row>
    <row r="665" spans="1:14" ht="16.5" customHeight="1">
      <c r="A665" s="8"/>
      <c r="N665" s="8"/>
    </row>
    <row r="666" spans="1:14" ht="16.5" customHeight="1">
      <c r="A666" s="8"/>
      <c r="N666" s="8"/>
    </row>
    <row r="667" spans="1:14" ht="16.5" customHeight="1">
      <c r="A667" s="8"/>
      <c r="N667" s="8"/>
    </row>
    <row r="668" spans="1:14" ht="16.5" customHeight="1">
      <c r="A668" s="8"/>
      <c r="N668" s="8"/>
    </row>
    <row r="669" spans="1:14" ht="16.5" customHeight="1">
      <c r="A669" s="8"/>
      <c r="N669" s="8"/>
    </row>
    <row r="670" spans="1:14" ht="16.5" customHeight="1">
      <c r="A670" s="8"/>
      <c r="N670" s="8"/>
    </row>
    <row r="671" spans="1:14" ht="16.5" customHeight="1">
      <c r="A671" s="8"/>
      <c r="N671" s="8"/>
    </row>
    <row r="672" spans="1:14" ht="16.5" customHeight="1">
      <c r="A672" s="8"/>
      <c r="N672" s="8"/>
    </row>
    <row r="673" spans="1:14" ht="16.5" customHeight="1">
      <c r="A673" s="8"/>
      <c r="N673" s="8"/>
    </row>
    <row r="674" spans="1:14" ht="16.5" customHeight="1">
      <c r="A674" s="8"/>
      <c r="N674" s="8"/>
    </row>
    <row r="675" spans="1:14" ht="16.5" customHeight="1">
      <c r="A675" s="8"/>
      <c r="N675" s="8"/>
    </row>
    <row r="676" spans="1:14" ht="16.5" customHeight="1">
      <c r="A676" s="8"/>
      <c r="N676" s="8"/>
    </row>
    <row r="677" spans="1:14" ht="16.5" customHeight="1">
      <c r="A677" s="8"/>
      <c r="N677" s="8"/>
    </row>
    <row r="678" spans="1:14" ht="16.5" customHeight="1">
      <c r="A678" s="8"/>
      <c r="N678" s="8"/>
    </row>
    <row r="679" spans="1:14" ht="16.5" customHeight="1">
      <c r="A679" s="8"/>
      <c r="N679" s="8"/>
    </row>
    <row r="680" spans="1:14" ht="16.5" customHeight="1">
      <c r="A680" s="8"/>
      <c r="N680" s="8"/>
    </row>
    <row r="681" spans="1:14" ht="16.5" customHeight="1">
      <c r="A681" s="8"/>
      <c r="N681" s="8"/>
    </row>
    <row r="682" spans="1:14" ht="16.5" customHeight="1">
      <c r="A682" s="8"/>
      <c r="N682" s="8"/>
    </row>
    <row r="683" spans="1:14" ht="16.5" customHeight="1">
      <c r="A683" s="8"/>
      <c r="N683" s="8"/>
    </row>
    <row r="684" spans="1:14" ht="16.5" customHeight="1">
      <c r="A684" s="8"/>
      <c r="N684" s="8"/>
    </row>
    <row r="685" spans="1:14" ht="16.5" customHeight="1">
      <c r="A685" s="8"/>
      <c r="N685" s="8"/>
    </row>
    <row r="686" spans="1:14" ht="16.5" customHeight="1">
      <c r="A686" s="8"/>
      <c r="N686" s="8"/>
    </row>
    <row r="687" spans="1:14" ht="16.5" customHeight="1">
      <c r="A687" s="8"/>
      <c r="N687" s="8"/>
    </row>
    <row r="688" spans="1:14" ht="16.5" customHeight="1">
      <c r="A688" s="8"/>
      <c r="N688" s="8"/>
    </row>
    <row r="689" spans="1:14" ht="16.5" customHeight="1">
      <c r="A689" s="8"/>
      <c r="N689" s="8"/>
    </row>
    <row r="690" spans="1:14" ht="16.5" customHeight="1">
      <c r="A690" s="8"/>
      <c r="N690" s="8"/>
    </row>
    <row r="691" spans="1:14" ht="16.5" customHeight="1">
      <c r="A691" s="8"/>
      <c r="N691" s="8"/>
    </row>
    <row r="692" spans="1:14" ht="16.5" customHeight="1">
      <c r="A692" s="8"/>
      <c r="N692" s="8"/>
    </row>
    <row r="693" spans="1:14" ht="16.5" customHeight="1">
      <c r="A693" s="8"/>
      <c r="N693" s="8"/>
    </row>
    <row r="694" spans="1:14" ht="16.5" customHeight="1">
      <c r="A694" s="8"/>
      <c r="N694" s="8"/>
    </row>
    <row r="695" spans="1:14" ht="16.5" customHeight="1">
      <c r="A695" s="8"/>
      <c r="N695" s="8"/>
    </row>
    <row r="696" spans="1:14" ht="16.5" customHeight="1">
      <c r="A696" s="8"/>
      <c r="N696" s="8"/>
    </row>
    <row r="697" spans="1:14" ht="16.5" customHeight="1">
      <c r="A697" s="8"/>
      <c r="N697" s="8"/>
    </row>
    <row r="698" spans="1:14" ht="16.5" customHeight="1">
      <c r="A698" s="8"/>
      <c r="N698" s="8"/>
    </row>
    <row r="699" spans="1:14" ht="16.5" customHeight="1">
      <c r="A699" s="8"/>
      <c r="N699" s="8"/>
    </row>
    <row r="700" spans="1:14" ht="16.5" customHeight="1">
      <c r="A700" s="8"/>
      <c r="N700" s="8"/>
    </row>
    <row r="701" spans="1:14" ht="16.5" customHeight="1">
      <c r="A701" s="8"/>
      <c r="N701" s="8"/>
    </row>
    <row r="702" spans="1:14" ht="16.5" customHeight="1">
      <c r="A702" s="8"/>
      <c r="N702" s="8"/>
    </row>
    <row r="703" spans="1:14" ht="16.5" customHeight="1">
      <c r="A703" s="8"/>
      <c r="N703" s="8"/>
    </row>
    <row r="704" spans="1:14" ht="16.5" customHeight="1">
      <c r="A704" s="8"/>
      <c r="N704" s="8"/>
    </row>
    <row r="705" spans="1:14" ht="16.5" customHeight="1">
      <c r="A705" s="8"/>
      <c r="N705" s="8"/>
    </row>
    <row r="706" spans="1:14" ht="16.5" customHeight="1">
      <c r="A706" s="8"/>
      <c r="N706" s="8"/>
    </row>
    <row r="707" spans="1:14" ht="16.5" customHeight="1">
      <c r="A707" s="8"/>
      <c r="N707" s="8"/>
    </row>
    <row r="708" spans="1:14" ht="16.5" customHeight="1">
      <c r="A708" s="8"/>
      <c r="N708" s="8"/>
    </row>
    <row r="709" spans="1:14" ht="16.5" customHeight="1">
      <c r="A709" s="8"/>
      <c r="N709" s="8"/>
    </row>
    <row r="710" spans="1:14" ht="16.5" customHeight="1">
      <c r="A710" s="8"/>
      <c r="N710" s="8"/>
    </row>
    <row r="711" spans="1:14" ht="16.5" customHeight="1">
      <c r="A711" s="8"/>
      <c r="N711" s="8"/>
    </row>
    <row r="712" spans="1:14" ht="16.5" customHeight="1">
      <c r="A712" s="8"/>
      <c r="N712" s="8"/>
    </row>
    <row r="713" spans="1:14" ht="16.5" customHeight="1">
      <c r="A713" s="8"/>
      <c r="N713" s="8"/>
    </row>
    <row r="714" spans="1:14" ht="16.5" customHeight="1">
      <c r="A714" s="8"/>
      <c r="N714" s="8"/>
    </row>
    <row r="715" spans="1:14" ht="16.5" customHeight="1">
      <c r="A715" s="8"/>
      <c r="N715" s="8"/>
    </row>
    <row r="716" spans="1:14" ht="16.5" customHeight="1">
      <c r="A716" s="8"/>
      <c r="N716" s="8"/>
    </row>
    <row r="717" spans="1:14" ht="16.5" customHeight="1">
      <c r="A717" s="8"/>
      <c r="N717" s="8"/>
    </row>
    <row r="718" spans="1:14" ht="16.5" customHeight="1">
      <c r="A718" s="8"/>
      <c r="N718" s="8"/>
    </row>
    <row r="719" spans="1:14" ht="16.5" customHeight="1">
      <c r="A719" s="8"/>
      <c r="N719" s="8"/>
    </row>
    <row r="720" spans="1:14" ht="16.5" customHeight="1">
      <c r="A720" s="8"/>
      <c r="N720" s="8"/>
    </row>
    <row r="721" spans="1:14" ht="16.5" customHeight="1">
      <c r="A721" s="8"/>
      <c r="N721" s="8"/>
    </row>
    <row r="722" spans="1:14" ht="16.5" customHeight="1">
      <c r="A722" s="8"/>
      <c r="N722" s="8"/>
    </row>
    <row r="723" spans="1:14" ht="16.5" customHeight="1">
      <c r="A723" s="8"/>
      <c r="N723" s="8"/>
    </row>
    <row r="724" spans="1:14" ht="16.5" customHeight="1">
      <c r="A724" s="8"/>
      <c r="N724" s="8"/>
    </row>
    <row r="725" spans="1:14" ht="16.5" customHeight="1">
      <c r="A725" s="8"/>
      <c r="N725" s="8"/>
    </row>
    <row r="726" spans="1:14" ht="16.5" customHeight="1">
      <c r="A726" s="8"/>
      <c r="N726" s="8"/>
    </row>
    <row r="727" spans="1:14" ht="16.5" customHeight="1">
      <c r="A727" s="8"/>
      <c r="N727" s="8"/>
    </row>
    <row r="728" spans="1:14" ht="16.5" customHeight="1">
      <c r="A728" s="8"/>
      <c r="N728" s="8"/>
    </row>
    <row r="729" spans="1:14" ht="16.5" customHeight="1">
      <c r="A729" s="8"/>
      <c r="N729" s="8"/>
    </row>
    <row r="730" spans="1:14" ht="16.5" customHeight="1">
      <c r="A730" s="8"/>
      <c r="N730" s="8"/>
    </row>
    <row r="731" spans="1:14" ht="16.5" customHeight="1">
      <c r="A731" s="8"/>
      <c r="N731" s="8"/>
    </row>
    <row r="732" spans="1:14" ht="16.5" customHeight="1">
      <c r="A732" s="8"/>
      <c r="N732" s="8"/>
    </row>
    <row r="733" spans="1:14" ht="16.5" customHeight="1">
      <c r="A733" s="8"/>
      <c r="N733" s="8"/>
    </row>
    <row r="734" spans="1:14" ht="16.5" customHeight="1">
      <c r="A734" s="8"/>
      <c r="N734" s="8"/>
    </row>
    <row r="735" spans="1:14" ht="16.5" customHeight="1">
      <c r="A735" s="8"/>
      <c r="N735" s="8"/>
    </row>
    <row r="736" spans="1:14" ht="16.5" customHeight="1">
      <c r="A736" s="8"/>
      <c r="N736" s="8"/>
    </row>
    <row r="737" spans="1:14" ht="16.5" customHeight="1">
      <c r="A737" s="8"/>
      <c r="N737" s="8"/>
    </row>
    <row r="738" spans="1:14" ht="16.5" customHeight="1">
      <c r="A738" s="8"/>
      <c r="N738" s="8"/>
    </row>
    <row r="739" spans="1:14" ht="16.5" customHeight="1">
      <c r="A739" s="8"/>
      <c r="N739" s="8"/>
    </row>
    <row r="740" spans="1:14" ht="16.5" customHeight="1">
      <c r="A740" s="8"/>
      <c r="N740" s="8"/>
    </row>
    <row r="741" spans="1:14" ht="16.5" customHeight="1">
      <c r="A741" s="8"/>
      <c r="N741" s="8"/>
    </row>
    <row r="742" spans="1:14" ht="16.5" customHeight="1">
      <c r="A742" s="8"/>
      <c r="N742" s="8"/>
    </row>
    <row r="743" spans="1:14" ht="16.5" customHeight="1">
      <c r="A743" s="8"/>
      <c r="N743" s="8"/>
    </row>
    <row r="744" spans="1:14" ht="16.5" customHeight="1">
      <c r="A744" s="8"/>
      <c r="N744" s="8"/>
    </row>
    <row r="745" spans="1:14" ht="16.5" customHeight="1">
      <c r="A745" s="8"/>
      <c r="N745" s="8"/>
    </row>
    <row r="746" spans="1:14" ht="16.5" customHeight="1">
      <c r="A746" s="8"/>
      <c r="N746" s="8"/>
    </row>
    <row r="747" spans="1:14" ht="16.5" customHeight="1">
      <c r="A747" s="8"/>
      <c r="N747" s="8"/>
    </row>
    <row r="748" spans="1:14" ht="16.5" customHeight="1">
      <c r="A748" s="8"/>
      <c r="N748" s="8"/>
    </row>
    <row r="749" spans="1:14" ht="16.5" customHeight="1">
      <c r="A749" s="8"/>
      <c r="N749" s="8"/>
    </row>
    <row r="750" spans="1:14" ht="16.5" customHeight="1">
      <c r="A750" s="8"/>
      <c r="N750" s="8"/>
    </row>
    <row r="751" spans="1:14" ht="16.5" customHeight="1">
      <c r="A751" s="8"/>
      <c r="N751" s="8"/>
    </row>
    <row r="752" spans="1:14" ht="16.5" customHeight="1">
      <c r="A752" s="8"/>
      <c r="N752" s="8"/>
    </row>
    <row r="753" spans="1:14" ht="16.5" customHeight="1">
      <c r="A753" s="8"/>
      <c r="N753" s="8"/>
    </row>
    <row r="754" spans="1:14" ht="16.5" customHeight="1">
      <c r="A754" s="8"/>
      <c r="N754" s="8"/>
    </row>
    <row r="755" spans="1:14" ht="16.5" customHeight="1">
      <c r="A755" s="8"/>
      <c r="N755" s="8"/>
    </row>
    <row r="756" spans="1:14" ht="16.5" customHeight="1">
      <c r="A756" s="8"/>
      <c r="N756" s="8"/>
    </row>
    <row r="757" spans="1:14" ht="16.5" customHeight="1">
      <c r="A757" s="8"/>
      <c r="N757" s="8"/>
    </row>
    <row r="758" spans="1:14" ht="16.5" customHeight="1">
      <c r="A758" s="8"/>
      <c r="N758" s="8"/>
    </row>
    <row r="759" spans="1:14" ht="16.5" customHeight="1">
      <c r="A759" s="8"/>
      <c r="N759" s="8"/>
    </row>
    <row r="760" spans="1:14" ht="16.5" customHeight="1">
      <c r="A760" s="8"/>
      <c r="N760" s="8"/>
    </row>
    <row r="761" spans="1:14" ht="16.5" customHeight="1">
      <c r="A761" s="8"/>
      <c r="N761" s="8"/>
    </row>
    <row r="762" spans="1:14" ht="16.5" customHeight="1">
      <c r="A762" s="8"/>
      <c r="N762" s="8"/>
    </row>
    <row r="763" spans="1:14" ht="16.5" customHeight="1">
      <c r="A763" s="8"/>
      <c r="N763" s="8"/>
    </row>
    <row r="764" spans="1:14" ht="16.5" customHeight="1">
      <c r="A764" s="8"/>
      <c r="N764" s="8"/>
    </row>
    <row r="765" spans="1:14" ht="16.5" customHeight="1">
      <c r="A765" s="8"/>
      <c r="N765" s="8"/>
    </row>
    <row r="766" spans="1:14" ht="16.5" customHeight="1">
      <c r="A766" s="8"/>
      <c r="N766" s="8"/>
    </row>
    <row r="767" spans="1:14" ht="16.5" customHeight="1">
      <c r="A767" s="8"/>
      <c r="N767" s="8"/>
    </row>
    <row r="768" spans="1:14" ht="16.5" customHeight="1">
      <c r="A768" s="8"/>
      <c r="N768" s="8"/>
    </row>
    <row r="769" spans="1:14" ht="16.5" customHeight="1">
      <c r="A769" s="8"/>
      <c r="N769" s="8"/>
    </row>
    <row r="770" spans="1:14" ht="16.5" customHeight="1">
      <c r="A770" s="8"/>
      <c r="N770" s="8"/>
    </row>
    <row r="771" spans="1:14" ht="16.5" customHeight="1">
      <c r="A771" s="8"/>
      <c r="N771" s="8"/>
    </row>
    <row r="772" spans="1:14" ht="16.5" customHeight="1">
      <c r="A772" s="8"/>
      <c r="N772" s="8"/>
    </row>
    <row r="773" spans="1:14" ht="16.5" customHeight="1">
      <c r="A773" s="8"/>
      <c r="N773" s="8"/>
    </row>
    <row r="774" spans="1:14" ht="16.5" customHeight="1">
      <c r="A774" s="8"/>
      <c r="N774" s="8"/>
    </row>
    <row r="775" spans="1:14" ht="16.5" customHeight="1">
      <c r="A775" s="8"/>
      <c r="N775" s="8"/>
    </row>
    <row r="776" spans="1:14" ht="16.5" customHeight="1">
      <c r="A776" s="8"/>
      <c r="N776" s="8"/>
    </row>
    <row r="777" spans="1:14" ht="16.5" customHeight="1">
      <c r="A777" s="8"/>
      <c r="N777" s="8"/>
    </row>
    <row r="778" spans="1:14" ht="16.5" customHeight="1">
      <c r="A778" s="8"/>
      <c r="N778" s="8"/>
    </row>
    <row r="779" spans="1:14" ht="16.5" customHeight="1">
      <c r="A779" s="8"/>
      <c r="N779" s="8"/>
    </row>
    <row r="780" spans="1:14" ht="16.5" customHeight="1">
      <c r="A780" s="8"/>
      <c r="N780" s="8"/>
    </row>
    <row r="781" spans="1:14" ht="16.5" customHeight="1">
      <c r="A781" s="8"/>
      <c r="N781" s="8"/>
    </row>
    <row r="782" spans="1:14" ht="16.5" customHeight="1">
      <c r="A782" s="8"/>
      <c r="N782" s="8"/>
    </row>
    <row r="783" spans="1:14" ht="16.5" customHeight="1">
      <c r="A783" s="8"/>
      <c r="N783" s="8"/>
    </row>
    <row r="784" spans="1:14" ht="16.5" customHeight="1">
      <c r="A784" s="8"/>
      <c r="N784" s="8"/>
    </row>
    <row r="785" spans="1:14" ht="16.5" customHeight="1">
      <c r="A785" s="8"/>
      <c r="N785" s="8"/>
    </row>
    <row r="786" spans="1:14" ht="16.5" customHeight="1">
      <c r="A786" s="8"/>
      <c r="N786" s="8"/>
    </row>
    <row r="787" spans="1:14" ht="16.5" customHeight="1">
      <c r="A787" s="8"/>
      <c r="N787" s="8"/>
    </row>
    <row r="788" spans="1:14" ht="16.5" customHeight="1">
      <c r="A788" s="8"/>
      <c r="N788" s="8"/>
    </row>
    <row r="789" spans="1:14" ht="16.5" customHeight="1">
      <c r="A789" s="8"/>
      <c r="N789" s="8"/>
    </row>
    <row r="790" spans="1:14" ht="16.5" customHeight="1">
      <c r="A790" s="8"/>
      <c r="N790" s="8"/>
    </row>
    <row r="791" spans="1:14" ht="16.5" customHeight="1">
      <c r="A791" s="8"/>
      <c r="N791" s="8"/>
    </row>
    <row r="792" spans="1:14" ht="16.5" customHeight="1">
      <c r="A792" s="8"/>
      <c r="N792" s="8"/>
    </row>
    <row r="793" spans="1:14" ht="16.5" customHeight="1">
      <c r="A793" s="8"/>
      <c r="N793" s="8"/>
    </row>
    <row r="794" spans="1:14" ht="16.5" customHeight="1">
      <c r="A794" s="8"/>
      <c r="N794" s="8"/>
    </row>
    <row r="795" spans="1:14" ht="16.5" customHeight="1">
      <c r="A795" s="8"/>
      <c r="N795" s="8"/>
    </row>
    <row r="796" spans="1:14" ht="16.5" customHeight="1">
      <c r="A796" s="8"/>
      <c r="N796" s="8"/>
    </row>
    <row r="797" spans="1:14" ht="16.5" customHeight="1">
      <c r="A797" s="8"/>
      <c r="N797" s="8"/>
    </row>
    <row r="798" spans="1:14" ht="16.5" customHeight="1">
      <c r="A798" s="8"/>
      <c r="N798" s="8"/>
    </row>
    <row r="799" spans="1:14" ht="16.5" customHeight="1">
      <c r="A799" s="8"/>
      <c r="N799" s="8"/>
    </row>
    <row r="800" spans="1:14" ht="16.5" customHeight="1">
      <c r="A800" s="8"/>
      <c r="N800" s="8"/>
    </row>
    <row r="801" spans="1:14" ht="16.5" customHeight="1">
      <c r="A801" s="8"/>
      <c r="N801" s="8"/>
    </row>
    <row r="802" spans="1:14" ht="16.5" customHeight="1">
      <c r="A802" s="8"/>
      <c r="N802" s="8"/>
    </row>
    <row r="803" spans="1:14" ht="16.5" customHeight="1">
      <c r="A803" s="8"/>
      <c r="N803" s="8"/>
    </row>
    <row r="804" spans="1:14" ht="16.5" customHeight="1">
      <c r="A804" s="8"/>
      <c r="N804" s="8"/>
    </row>
    <row r="805" spans="1:14" ht="16.5" customHeight="1">
      <c r="A805" s="8"/>
      <c r="N805" s="8"/>
    </row>
    <row r="806" spans="1:14" ht="16.5" customHeight="1">
      <c r="A806" s="8"/>
      <c r="N806" s="8"/>
    </row>
    <row r="807" spans="1:14" ht="16.5" customHeight="1">
      <c r="A807" s="8"/>
      <c r="N807" s="8"/>
    </row>
    <row r="808" spans="1:14" ht="16.5" customHeight="1">
      <c r="A808" s="8"/>
      <c r="N808" s="8"/>
    </row>
    <row r="809" spans="1:14" ht="16.5" customHeight="1">
      <c r="A809" s="8"/>
      <c r="N809" s="8"/>
    </row>
    <row r="810" spans="1:14" ht="16.5" customHeight="1">
      <c r="A810" s="8"/>
      <c r="N810" s="8"/>
    </row>
    <row r="811" spans="1:14" ht="16.5" customHeight="1">
      <c r="A811" s="8"/>
      <c r="N811" s="8"/>
    </row>
    <row r="812" spans="1:14" ht="16.5" customHeight="1">
      <c r="A812" s="8"/>
      <c r="N812" s="8"/>
    </row>
    <row r="813" spans="1:14" ht="16.5" customHeight="1">
      <c r="A813" s="8"/>
      <c r="N813" s="8"/>
    </row>
    <row r="814" spans="1:14" ht="16.5" customHeight="1">
      <c r="A814" s="8"/>
      <c r="N814" s="8"/>
    </row>
    <row r="815" spans="1:14" ht="16.5" customHeight="1">
      <c r="A815" s="8"/>
      <c r="N815" s="8"/>
    </row>
    <row r="816" spans="1:14" ht="16.5" customHeight="1">
      <c r="A816" s="8"/>
      <c r="N816" s="8"/>
    </row>
    <row r="817" spans="1:14" ht="16.5" customHeight="1">
      <c r="A817" s="8"/>
      <c r="N817" s="8"/>
    </row>
    <row r="818" spans="1:14" ht="16.5" customHeight="1">
      <c r="A818" s="8"/>
      <c r="N818" s="8"/>
    </row>
    <row r="819" spans="1:14" ht="16.5" customHeight="1">
      <c r="A819" s="8"/>
      <c r="N819" s="8"/>
    </row>
    <row r="820" spans="1:14" ht="16.5" customHeight="1">
      <c r="A820" s="8"/>
      <c r="N820" s="8"/>
    </row>
    <row r="821" spans="1:14" ht="16.5" customHeight="1">
      <c r="A821" s="8"/>
      <c r="N821" s="8"/>
    </row>
    <row r="822" spans="1:14" ht="16.5" customHeight="1">
      <c r="A822" s="8"/>
      <c r="N822" s="8"/>
    </row>
    <row r="823" spans="1:14" ht="16.5" customHeight="1">
      <c r="A823" s="8"/>
      <c r="N823" s="8"/>
    </row>
    <row r="824" spans="1:14" ht="16.5" customHeight="1">
      <c r="A824" s="8"/>
      <c r="N824" s="8"/>
    </row>
    <row r="825" spans="1:14" ht="16.5" customHeight="1">
      <c r="A825" s="8"/>
      <c r="N825" s="8"/>
    </row>
    <row r="826" spans="1:14" ht="16.5" customHeight="1">
      <c r="A826" s="8"/>
      <c r="N826" s="8"/>
    </row>
    <row r="827" spans="1:14" ht="16.5" customHeight="1">
      <c r="A827" s="8"/>
      <c r="N827" s="8"/>
    </row>
    <row r="828" spans="1:14" ht="16.5" customHeight="1">
      <c r="A828" s="8"/>
      <c r="N828" s="8"/>
    </row>
    <row r="829" spans="1:14" ht="16.5" customHeight="1">
      <c r="A829" s="8"/>
      <c r="N829" s="8"/>
    </row>
    <row r="830" spans="1:14" ht="16.5" customHeight="1">
      <c r="A830" s="8"/>
      <c r="N830" s="8"/>
    </row>
    <row r="831" spans="1:14" ht="16.5" customHeight="1">
      <c r="A831" s="8"/>
      <c r="N831" s="8"/>
    </row>
    <row r="832" spans="1:14" ht="16.5" customHeight="1">
      <c r="A832" s="8"/>
      <c r="N832" s="8"/>
    </row>
    <row r="833" spans="1:14" ht="16.5" customHeight="1">
      <c r="A833" s="8"/>
      <c r="N833" s="8"/>
    </row>
    <row r="834" spans="1:14" ht="16.5" customHeight="1">
      <c r="A834" s="8"/>
      <c r="N834" s="8"/>
    </row>
    <row r="835" spans="1:14" ht="16.5" customHeight="1">
      <c r="A835" s="8"/>
      <c r="N835" s="8"/>
    </row>
    <row r="836" spans="1:14" ht="16.5" customHeight="1">
      <c r="A836" s="8"/>
      <c r="N836" s="8"/>
    </row>
    <row r="837" spans="1:14" ht="16.5" customHeight="1">
      <c r="A837" s="8"/>
      <c r="N837" s="8"/>
    </row>
    <row r="838" spans="1:14" ht="16.5" customHeight="1">
      <c r="A838" s="8"/>
      <c r="N838" s="8"/>
    </row>
    <row r="839" spans="1:14" ht="16.5" customHeight="1">
      <c r="A839" s="8"/>
      <c r="N839" s="8"/>
    </row>
    <row r="840" spans="1:14" ht="16.5" customHeight="1">
      <c r="A840" s="8"/>
      <c r="N840" s="8"/>
    </row>
    <row r="841" spans="1:14" ht="16.5" customHeight="1">
      <c r="A841" s="8"/>
      <c r="N841" s="8"/>
    </row>
    <row r="842" spans="1:14" ht="16.5" customHeight="1">
      <c r="A842" s="8"/>
      <c r="N842" s="8"/>
    </row>
    <row r="843" spans="1:14" ht="16.5" customHeight="1">
      <c r="A843" s="8"/>
      <c r="N843" s="8"/>
    </row>
    <row r="844" spans="1:14" ht="16.5" customHeight="1">
      <c r="A844" s="8"/>
      <c r="N844" s="8"/>
    </row>
    <row r="845" spans="1:14" ht="16.5" customHeight="1">
      <c r="A845" s="8"/>
      <c r="N845" s="8"/>
    </row>
    <row r="846" spans="1:14" ht="16.5" customHeight="1">
      <c r="A846" s="8"/>
      <c r="N846" s="8"/>
    </row>
    <row r="847" spans="1:14" ht="16.5" customHeight="1">
      <c r="A847" s="8"/>
      <c r="N847" s="8"/>
    </row>
    <row r="848" spans="1:14" ht="16.5" customHeight="1">
      <c r="A848" s="8"/>
      <c r="N848" s="8"/>
    </row>
    <row r="849" spans="1:14" ht="16.5" customHeight="1">
      <c r="A849" s="8"/>
      <c r="N849" s="8"/>
    </row>
    <row r="850" spans="1:14" ht="16.5" customHeight="1">
      <c r="A850" s="8"/>
      <c r="N850" s="8"/>
    </row>
    <row r="851" spans="1:14" ht="16.5" customHeight="1">
      <c r="A851" s="8"/>
      <c r="N851" s="8"/>
    </row>
    <row r="852" spans="1:14" ht="16.5" customHeight="1">
      <c r="A852" s="8"/>
      <c r="N852" s="8"/>
    </row>
    <row r="853" spans="1:14" ht="16.5" customHeight="1">
      <c r="A853" s="8"/>
      <c r="N853" s="8"/>
    </row>
    <row r="854" spans="1:14" ht="16.5" customHeight="1">
      <c r="A854" s="8"/>
      <c r="N854" s="8"/>
    </row>
    <row r="855" spans="1:14" ht="16.5" customHeight="1">
      <c r="A855" s="8"/>
      <c r="N855" s="8"/>
    </row>
    <row r="856" spans="1:14" ht="16.5" customHeight="1">
      <c r="A856" s="8"/>
      <c r="N856" s="8"/>
    </row>
    <row r="857" spans="1:14" ht="16.5" customHeight="1">
      <c r="A857" s="8"/>
      <c r="N857" s="8"/>
    </row>
    <row r="858" spans="1:14" ht="16.5" customHeight="1">
      <c r="A858" s="8"/>
      <c r="N858" s="8"/>
    </row>
    <row r="859" spans="1:14" ht="16.5" customHeight="1">
      <c r="A859" s="8"/>
      <c r="N859" s="8"/>
    </row>
    <row r="860" spans="1:14" ht="16.5" customHeight="1">
      <c r="A860" s="8"/>
      <c r="N860" s="8"/>
    </row>
    <row r="861" spans="1:14" ht="16.5" customHeight="1">
      <c r="A861" s="8"/>
      <c r="N861" s="8"/>
    </row>
    <row r="862" spans="1:14" ht="16.5" customHeight="1">
      <c r="A862" s="8"/>
      <c r="N862" s="8"/>
    </row>
    <row r="863" spans="1:14" ht="16.5" customHeight="1">
      <c r="A863" s="8"/>
      <c r="N863" s="8"/>
    </row>
    <row r="864" spans="1:14" ht="16.5" customHeight="1">
      <c r="A864" s="8"/>
      <c r="N864" s="8"/>
    </row>
    <row r="865" spans="1:14" ht="16.5" customHeight="1">
      <c r="A865" s="8"/>
      <c r="N865" s="8"/>
    </row>
    <row r="866" spans="1:14" ht="16.5" customHeight="1">
      <c r="A866" s="8"/>
      <c r="N866" s="8"/>
    </row>
    <row r="867" spans="1:14" ht="16.5" customHeight="1">
      <c r="A867" s="8"/>
      <c r="N867" s="8"/>
    </row>
    <row r="868" spans="1:14" ht="16.5" customHeight="1">
      <c r="A868" s="8"/>
      <c r="N868" s="8"/>
    </row>
    <row r="869" spans="1:14" ht="16.5" customHeight="1">
      <c r="A869" s="8"/>
      <c r="N869" s="8"/>
    </row>
    <row r="870" spans="1:14" ht="16.5" customHeight="1">
      <c r="A870" s="8"/>
      <c r="N870" s="8"/>
    </row>
    <row r="871" spans="1:14" ht="16.5" customHeight="1">
      <c r="A871" s="8"/>
      <c r="N871" s="8"/>
    </row>
    <row r="872" spans="1:14" ht="16.5" customHeight="1">
      <c r="A872" s="8"/>
      <c r="N872" s="8"/>
    </row>
    <row r="873" spans="1:14" ht="16.5" customHeight="1">
      <c r="A873" s="8"/>
      <c r="N873" s="8"/>
    </row>
    <row r="874" spans="1:14" ht="16.5" customHeight="1">
      <c r="A874" s="8"/>
      <c r="N874" s="8"/>
    </row>
    <row r="875" spans="1:14" ht="16.5" customHeight="1">
      <c r="A875" s="8"/>
      <c r="N875" s="8"/>
    </row>
    <row r="876" spans="1:14" ht="16.5" customHeight="1">
      <c r="A876" s="8"/>
      <c r="N876" s="8"/>
    </row>
    <row r="877" spans="1:14" ht="16.5" customHeight="1">
      <c r="A877" s="8"/>
      <c r="N877" s="8"/>
    </row>
    <row r="878" spans="1:14" ht="16.5" customHeight="1">
      <c r="A878" s="8"/>
      <c r="N878" s="8"/>
    </row>
    <row r="879" spans="1:14" ht="16.5" customHeight="1">
      <c r="A879" s="8"/>
      <c r="N879" s="8"/>
    </row>
    <row r="880" spans="1:14" ht="16.5" customHeight="1">
      <c r="A880" s="8"/>
      <c r="N880" s="8"/>
    </row>
    <row r="881" spans="1:14" ht="16.5" customHeight="1">
      <c r="A881" s="8"/>
      <c r="N881" s="8"/>
    </row>
    <row r="882" spans="1:14" ht="16.5" customHeight="1">
      <c r="A882" s="8"/>
      <c r="N882" s="8"/>
    </row>
    <row r="883" spans="1:14" ht="16.5" customHeight="1">
      <c r="A883" s="8"/>
      <c r="N883" s="8"/>
    </row>
    <row r="884" spans="1:14" ht="16.5" customHeight="1">
      <c r="A884" s="8"/>
      <c r="N884" s="8"/>
    </row>
    <row r="885" spans="1:14" ht="16.5" customHeight="1">
      <c r="A885" s="8"/>
      <c r="N885" s="8"/>
    </row>
    <row r="886" spans="1:14" ht="16.5" customHeight="1">
      <c r="A886" s="8"/>
      <c r="N886" s="8"/>
    </row>
    <row r="887" spans="1:14" ht="16.5" customHeight="1">
      <c r="A887" s="8"/>
      <c r="N887" s="8"/>
    </row>
    <row r="888" spans="1:14" ht="16.5" customHeight="1">
      <c r="A888" s="8"/>
      <c r="N888" s="8"/>
    </row>
    <row r="889" spans="1:14" ht="16.5" customHeight="1">
      <c r="A889" s="8"/>
      <c r="N889" s="8"/>
    </row>
    <row r="890" spans="1:14" ht="16.5" customHeight="1">
      <c r="A890" s="8"/>
      <c r="N890" s="8"/>
    </row>
    <row r="891" spans="1:14" ht="16.5" customHeight="1">
      <c r="A891" s="8"/>
      <c r="N891" s="8"/>
    </row>
    <row r="892" spans="1:14" ht="16.5" customHeight="1">
      <c r="A892" s="8"/>
      <c r="N892" s="8"/>
    </row>
    <row r="893" spans="1:14" ht="16.5" customHeight="1">
      <c r="A893" s="8"/>
      <c r="N893" s="8"/>
    </row>
    <row r="894" spans="1:14" ht="16.5" customHeight="1">
      <c r="A894" s="8"/>
      <c r="N894" s="8"/>
    </row>
    <row r="895" spans="1:14" ht="16.5" customHeight="1">
      <c r="A895" s="8"/>
      <c r="N895" s="8"/>
    </row>
    <row r="896" spans="1:14" ht="16.5" customHeight="1">
      <c r="A896" s="8"/>
      <c r="N896" s="8"/>
    </row>
    <row r="897" spans="1:14" ht="16.5" customHeight="1">
      <c r="A897" s="8"/>
      <c r="N897" s="8"/>
    </row>
    <row r="898" spans="1:14" ht="16.5" customHeight="1">
      <c r="A898" s="8"/>
      <c r="N898" s="8"/>
    </row>
    <row r="899" spans="1:14" ht="16.5" customHeight="1">
      <c r="A899" s="8"/>
      <c r="N899" s="8"/>
    </row>
    <row r="900" spans="1:14" ht="16.5" customHeight="1">
      <c r="A900" s="8"/>
      <c r="N900" s="8"/>
    </row>
    <row r="901" spans="1:14" ht="16.5" customHeight="1">
      <c r="A901" s="8"/>
      <c r="N901" s="8"/>
    </row>
    <row r="902" spans="1:14" ht="16.5" customHeight="1">
      <c r="A902" s="8"/>
      <c r="N902" s="8"/>
    </row>
    <row r="903" spans="1:14" ht="16.5" customHeight="1">
      <c r="A903" s="8"/>
      <c r="N903" s="8"/>
    </row>
    <row r="904" spans="1:14" ht="16.5" customHeight="1">
      <c r="A904" s="8"/>
      <c r="N904" s="8"/>
    </row>
    <row r="905" spans="1:14" ht="16.5" customHeight="1">
      <c r="A905" s="8"/>
      <c r="N905" s="8"/>
    </row>
    <row r="906" spans="1:14" ht="16.5" customHeight="1">
      <c r="A906" s="8"/>
      <c r="N906" s="8"/>
    </row>
    <row r="907" spans="1:14" ht="16.5" customHeight="1">
      <c r="A907" s="8"/>
      <c r="N907" s="8"/>
    </row>
    <row r="908" spans="1:14" ht="16.5" customHeight="1">
      <c r="A908" s="8"/>
      <c r="N908" s="8"/>
    </row>
    <row r="909" spans="1:14" ht="16.5" customHeight="1">
      <c r="A909" s="8"/>
      <c r="N909" s="8"/>
    </row>
    <row r="910" spans="1:14" ht="16.5" customHeight="1">
      <c r="A910" s="8"/>
      <c r="N910" s="8"/>
    </row>
    <row r="911" spans="1:14" ht="16.5" customHeight="1">
      <c r="A911" s="8"/>
      <c r="N911" s="8"/>
    </row>
    <row r="912" spans="1:14" ht="16.5" customHeight="1">
      <c r="A912" s="8"/>
      <c r="N912" s="8"/>
    </row>
    <row r="913" spans="1:14" ht="16.5" customHeight="1">
      <c r="A913" s="8"/>
      <c r="N913" s="8"/>
    </row>
    <row r="914" spans="1:14" ht="16.5" customHeight="1">
      <c r="A914" s="8"/>
      <c r="N914" s="8"/>
    </row>
    <row r="915" spans="1:14" ht="16.5" customHeight="1">
      <c r="A915" s="8"/>
      <c r="N915" s="8"/>
    </row>
    <row r="916" spans="1:14" ht="16.5" customHeight="1">
      <c r="A916" s="8"/>
      <c r="N916" s="8"/>
    </row>
    <row r="917" spans="1:14" ht="16.5" customHeight="1">
      <c r="A917" s="8"/>
      <c r="N917" s="8"/>
    </row>
    <row r="918" spans="1:14" ht="16.5" customHeight="1">
      <c r="A918" s="8"/>
      <c r="N918" s="8"/>
    </row>
    <row r="919" spans="1:14" ht="16.5" customHeight="1">
      <c r="A919" s="8"/>
      <c r="N919" s="8"/>
    </row>
    <row r="920" spans="1:14" ht="16.5" customHeight="1">
      <c r="A920" s="8"/>
      <c r="N920" s="8"/>
    </row>
    <row r="921" spans="1:14" ht="16.5" customHeight="1">
      <c r="A921" s="8"/>
      <c r="N921" s="8"/>
    </row>
    <row r="922" spans="1:14" ht="16.5" customHeight="1">
      <c r="A922" s="8"/>
      <c r="N922" s="8"/>
    </row>
    <row r="923" spans="1:14" ht="16.5" customHeight="1">
      <c r="A923" s="8"/>
      <c r="N923" s="8"/>
    </row>
    <row r="924" spans="1:14" ht="16.5" customHeight="1">
      <c r="A924" s="8"/>
      <c r="N924" s="8"/>
    </row>
    <row r="925" spans="1:14" ht="16.5" customHeight="1">
      <c r="A925" s="8"/>
      <c r="N925" s="8"/>
    </row>
    <row r="926" spans="1:14" ht="16.5" customHeight="1">
      <c r="A926" s="8"/>
      <c r="N926" s="8"/>
    </row>
    <row r="927" spans="1:14" ht="16.5" customHeight="1">
      <c r="A927" s="8"/>
      <c r="N927" s="8"/>
    </row>
    <row r="928" spans="1:14" ht="16.5" customHeight="1">
      <c r="A928" s="8"/>
      <c r="N928" s="8"/>
    </row>
    <row r="929" spans="1:14" ht="16.5" customHeight="1">
      <c r="A929" s="8"/>
      <c r="N929" s="8"/>
    </row>
    <row r="930" spans="1:14" ht="16.5" customHeight="1">
      <c r="A930" s="8"/>
      <c r="N930" s="8"/>
    </row>
    <row r="931" spans="1:14" ht="16.5" customHeight="1">
      <c r="A931" s="8"/>
      <c r="N931" s="8"/>
    </row>
    <row r="932" spans="1:14" ht="16.5" customHeight="1">
      <c r="A932" s="8"/>
      <c r="N932" s="8"/>
    </row>
    <row r="933" spans="1:14" ht="16.5" customHeight="1">
      <c r="A933" s="8"/>
      <c r="N933" s="8"/>
    </row>
    <row r="934" spans="1:14" ht="16.5" customHeight="1">
      <c r="A934" s="8"/>
      <c r="N934" s="8"/>
    </row>
    <row r="935" spans="1:14" ht="16.5" customHeight="1">
      <c r="A935" s="8"/>
      <c r="N935" s="8"/>
    </row>
    <row r="936" spans="1:14" ht="16.5" customHeight="1">
      <c r="A936" s="8"/>
      <c r="N936" s="8"/>
    </row>
    <row r="937" spans="1:14" ht="16.5" customHeight="1">
      <c r="A937" s="8"/>
      <c r="N937" s="8"/>
    </row>
    <row r="938" spans="1:14" ht="16.5" customHeight="1">
      <c r="A938" s="8"/>
      <c r="N938" s="8"/>
    </row>
    <row r="939" spans="1:14" ht="16.5" customHeight="1">
      <c r="A939" s="8"/>
      <c r="N939" s="8"/>
    </row>
    <row r="940" spans="1:14" ht="16.5" customHeight="1">
      <c r="A940" s="8"/>
      <c r="N940" s="8"/>
    </row>
    <row r="941" spans="1:14" ht="16.5" customHeight="1">
      <c r="A941" s="8"/>
      <c r="N941" s="8"/>
    </row>
    <row r="942" spans="1:14" ht="16.5" customHeight="1">
      <c r="A942" s="8"/>
      <c r="N942" s="8"/>
    </row>
    <row r="943" spans="1:14" ht="16.5" customHeight="1">
      <c r="A943" s="8"/>
      <c r="N943" s="8"/>
    </row>
    <row r="944" spans="1:14" ht="16.5" customHeight="1">
      <c r="A944" s="8"/>
      <c r="N944" s="8"/>
    </row>
    <row r="945" spans="1:14" ht="16.5" customHeight="1">
      <c r="A945" s="8"/>
      <c r="N945" s="8"/>
    </row>
    <row r="946" spans="1:14" ht="16.5" customHeight="1">
      <c r="A946" s="8"/>
      <c r="N946" s="8"/>
    </row>
    <row r="947" spans="1:14" ht="16.5" customHeight="1">
      <c r="A947" s="8"/>
      <c r="N947" s="8"/>
    </row>
    <row r="948" spans="1:14" ht="16.5" customHeight="1">
      <c r="A948" s="8"/>
      <c r="N948" s="8"/>
    </row>
    <row r="949" spans="1:14" ht="16.5" customHeight="1">
      <c r="A949" s="8"/>
      <c r="N949" s="8"/>
    </row>
    <row r="950" spans="1:14" ht="16.5" customHeight="1">
      <c r="A950" s="8"/>
      <c r="N950" s="8"/>
    </row>
    <row r="951" spans="1:14" ht="16.5" customHeight="1">
      <c r="A951" s="8"/>
      <c r="N951" s="8"/>
    </row>
    <row r="952" spans="1:14" ht="16.5" customHeight="1">
      <c r="A952" s="8"/>
      <c r="N952" s="8"/>
    </row>
    <row r="953" spans="1:14" ht="16.5" customHeight="1">
      <c r="A953" s="8"/>
      <c r="N953" s="8"/>
    </row>
    <row r="954" spans="1:14" ht="16.5" customHeight="1">
      <c r="A954" s="8"/>
      <c r="N954" s="8"/>
    </row>
    <row r="955" spans="1:14" ht="16.5" customHeight="1">
      <c r="A955" s="8"/>
      <c r="N955" s="8"/>
    </row>
    <row r="956" spans="1:14" ht="16.5" customHeight="1">
      <c r="A956" s="8"/>
      <c r="N956" s="8"/>
    </row>
    <row r="957" spans="1:14" ht="16.5" customHeight="1">
      <c r="A957" s="8"/>
      <c r="N957" s="8"/>
    </row>
    <row r="958" spans="1:14" ht="16.5" customHeight="1">
      <c r="A958" s="8"/>
      <c r="N958" s="8"/>
    </row>
    <row r="959" spans="1:14" ht="16.5" customHeight="1">
      <c r="A959" s="8"/>
      <c r="N959" s="8"/>
    </row>
    <row r="960" spans="1:14" ht="16.5" customHeight="1">
      <c r="A960" s="8"/>
      <c r="N960" s="8"/>
    </row>
    <row r="961" spans="1:14" ht="16.5" customHeight="1">
      <c r="A961" s="8"/>
      <c r="N961" s="8"/>
    </row>
    <row r="962" spans="1:14" ht="16.5" customHeight="1">
      <c r="A962" s="8"/>
      <c r="N962" s="8"/>
    </row>
    <row r="963" spans="1:14" ht="16.5" customHeight="1">
      <c r="A963" s="8"/>
      <c r="N963" s="8"/>
    </row>
    <row r="964" spans="1:14" ht="16.5" customHeight="1">
      <c r="A964" s="8"/>
      <c r="N964" s="8"/>
    </row>
    <row r="965" spans="1:14" ht="16.5" customHeight="1">
      <c r="A965" s="8"/>
      <c r="N965" s="8"/>
    </row>
    <row r="966" spans="1:14" ht="16.5" customHeight="1">
      <c r="A966" s="8"/>
      <c r="N966" s="8"/>
    </row>
    <row r="967" spans="1:14" ht="16.5" customHeight="1">
      <c r="A967" s="8"/>
      <c r="N967" s="8"/>
    </row>
    <row r="968" spans="1:14" ht="16.5" customHeight="1">
      <c r="A968" s="8"/>
      <c r="N968" s="8"/>
    </row>
    <row r="969" spans="1:14" ht="16.5" customHeight="1">
      <c r="A969" s="8"/>
      <c r="N969" s="8"/>
    </row>
    <row r="970" spans="1:14" ht="16.5" customHeight="1">
      <c r="A970" s="8"/>
      <c r="N970" s="8"/>
    </row>
    <row r="971" spans="1:14" ht="16.5" customHeight="1">
      <c r="A971" s="8"/>
      <c r="N971" s="8"/>
    </row>
    <row r="972" spans="1:14" ht="16.5" customHeight="1">
      <c r="A972" s="8"/>
      <c r="N972" s="8"/>
    </row>
    <row r="973" spans="1:14" ht="16.5" customHeight="1">
      <c r="A973" s="8"/>
      <c r="N973" s="8"/>
    </row>
    <row r="974" spans="1:14" ht="16.5" customHeight="1">
      <c r="A974" s="8"/>
      <c r="N974" s="8"/>
    </row>
    <row r="975" spans="1:14" ht="16.5" customHeight="1">
      <c r="A975" s="8"/>
      <c r="N975" s="8"/>
    </row>
    <row r="976" spans="1:14" ht="16.5" customHeight="1">
      <c r="A976" s="8"/>
      <c r="N976" s="8"/>
    </row>
    <row r="977" spans="1:14" ht="16.5" customHeight="1">
      <c r="A977" s="8"/>
      <c r="N977" s="8"/>
    </row>
    <row r="978" spans="1:14" ht="16.5" customHeight="1">
      <c r="A978" s="8"/>
      <c r="N978" s="8"/>
    </row>
    <row r="979" spans="1:14" ht="16.5" customHeight="1">
      <c r="A979" s="8"/>
      <c r="N979" s="8"/>
    </row>
    <row r="980" spans="1:14" ht="16.5" customHeight="1">
      <c r="A980" s="8"/>
      <c r="N980" s="8"/>
    </row>
    <row r="981" spans="1:14" ht="16.5" customHeight="1">
      <c r="A981" s="8"/>
      <c r="N981" s="8"/>
    </row>
    <row r="982" spans="1:14" ht="16.5" customHeight="1">
      <c r="A982" s="8"/>
      <c r="N982" s="8"/>
    </row>
    <row r="983" spans="1:14" ht="16.5" customHeight="1">
      <c r="A983" s="8"/>
      <c r="N983" s="8"/>
    </row>
    <row r="984" spans="1:14" ht="16.5" customHeight="1">
      <c r="A984" s="8"/>
      <c r="N984" s="8"/>
    </row>
    <row r="985" spans="1:14" ht="16.5" customHeight="1">
      <c r="A985" s="8"/>
      <c r="N985" s="8"/>
    </row>
    <row r="986" spans="1:14" ht="16.5" customHeight="1">
      <c r="A986" s="8"/>
      <c r="N986" s="8"/>
    </row>
    <row r="987" spans="1:14" ht="16.5" customHeight="1">
      <c r="A987" s="8"/>
      <c r="N987" s="8"/>
    </row>
    <row r="988" spans="1:14" ht="16.5" customHeight="1">
      <c r="A988" s="8"/>
      <c r="N988" s="8"/>
    </row>
    <row r="989" spans="1:14" ht="16.5" customHeight="1">
      <c r="A989" s="8"/>
      <c r="N989" s="8"/>
    </row>
    <row r="990" spans="1:14" ht="16.5" customHeight="1">
      <c r="A990" s="8"/>
      <c r="N990" s="8"/>
    </row>
    <row r="991" spans="1:14" ht="16.5" customHeight="1">
      <c r="A991" s="8"/>
      <c r="N991" s="8"/>
    </row>
    <row r="992" spans="1:14" ht="16.5" customHeight="1">
      <c r="A992" s="8"/>
      <c r="N992" s="8"/>
    </row>
    <row r="993" spans="1:14" ht="16.5" customHeight="1">
      <c r="A993" s="8"/>
      <c r="N993" s="8"/>
    </row>
    <row r="994" spans="1:14" ht="16.5" customHeight="1">
      <c r="A994" s="8"/>
      <c r="N994" s="8"/>
    </row>
    <row r="995" spans="1:14" ht="16.5" customHeight="1">
      <c r="A995" s="8"/>
      <c r="N995" s="8"/>
    </row>
    <row r="996" spans="1:14" ht="16.5" customHeight="1">
      <c r="A996" s="8"/>
      <c r="N996" s="8"/>
    </row>
    <row r="997" spans="1:14" ht="16.5" customHeight="1">
      <c r="A997" s="8"/>
      <c r="N997" s="8"/>
    </row>
    <row r="998" spans="1:14" ht="16.5" customHeight="1">
      <c r="A998" s="8"/>
      <c r="N998" s="8"/>
    </row>
    <row r="999" spans="1:14" ht="16.5" customHeight="1">
      <c r="A999" s="8"/>
      <c r="N999" s="8"/>
    </row>
    <row r="1000" spans="1:14" ht="16.5" customHeight="1">
      <c r="A1000" s="8"/>
      <c r="N1000" s="8"/>
    </row>
    <row r="1001" spans="1:14" ht="16.5" customHeight="1">
      <c r="A1001" s="8"/>
      <c r="N1001" s="8"/>
    </row>
    <row r="1002" spans="1:14" ht="16.5" customHeight="1">
      <c r="A1002" s="8"/>
      <c r="N1002" s="8"/>
    </row>
    <row r="1003" spans="1:14" ht="16.5" customHeight="1">
      <c r="A1003" s="8"/>
      <c r="N1003" s="8"/>
    </row>
    <row r="1004" spans="1:14" ht="16.5" customHeight="1">
      <c r="A1004" s="8"/>
      <c r="N1004" s="8"/>
    </row>
    <row r="1005" spans="1:14" ht="16.5" customHeight="1">
      <c r="A1005" s="8"/>
      <c r="N1005" s="8"/>
    </row>
    <row r="1006" spans="1:14" ht="16.5" customHeight="1">
      <c r="A1006" s="8"/>
      <c r="N1006" s="8"/>
    </row>
    <row r="1007" spans="1:14" ht="16.5" customHeight="1">
      <c r="A1007" s="8"/>
      <c r="N1007" s="8"/>
    </row>
  </sheetData>
  <mergeCells count="91">
    <mergeCell ref="M34:N34"/>
    <mergeCell ref="A1:P1"/>
    <mergeCell ref="A2:O2"/>
    <mergeCell ref="A3:A4"/>
    <mergeCell ref="B3:B4"/>
    <mergeCell ref="C3:C4"/>
    <mergeCell ref="D3:D4"/>
    <mergeCell ref="E3:E4"/>
    <mergeCell ref="F3:F4"/>
    <mergeCell ref="G3:H3"/>
    <mergeCell ref="I3:J3"/>
    <mergeCell ref="K3:L3"/>
    <mergeCell ref="M3:N3"/>
    <mergeCell ref="O3:O4"/>
    <mergeCell ref="H35:H36"/>
    <mergeCell ref="A5:A36"/>
    <mergeCell ref="B5:B9"/>
    <mergeCell ref="M5:M9"/>
    <mergeCell ref="N5:N19"/>
    <mergeCell ref="B10:B14"/>
    <mergeCell ref="M10:M14"/>
    <mergeCell ref="B15:B19"/>
    <mergeCell ref="M15:M19"/>
    <mergeCell ref="B20:B23"/>
    <mergeCell ref="M20:N21"/>
    <mergeCell ref="M22:N23"/>
    <mergeCell ref="B24:B27"/>
    <mergeCell ref="M24:N27"/>
    <mergeCell ref="B28:B33"/>
    <mergeCell ref="M28:N33"/>
    <mergeCell ref="O35:O36"/>
    <mergeCell ref="A37:D37"/>
    <mergeCell ref="M37:N37"/>
    <mergeCell ref="A38:A46"/>
    <mergeCell ref="B38:B42"/>
    <mergeCell ref="M38:N46"/>
    <mergeCell ref="B43:B46"/>
    <mergeCell ref="I35:I36"/>
    <mergeCell ref="J35:J36"/>
    <mergeCell ref="K35:K36"/>
    <mergeCell ref="L35:L36"/>
    <mergeCell ref="M35:N36"/>
    <mergeCell ref="D35:D36"/>
    <mergeCell ref="E35:E36"/>
    <mergeCell ref="F35:F36"/>
    <mergeCell ref="G35:G36"/>
    <mergeCell ref="A47:A56"/>
    <mergeCell ref="M47:N56"/>
    <mergeCell ref="B48:B52"/>
    <mergeCell ref="B53:B56"/>
    <mergeCell ref="A76:A77"/>
    <mergeCell ref="B76:B77"/>
    <mergeCell ref="M76:N77"/>
    <mergeCell ref="A57:A58"/>
    <mergeCell ref="B57:B58"/>
    <mergeCell ref="M57:N58"/>
    <mergeCell ref="A59:A60"/>
    <mergeCell ref="B59:B60"/>
    <mergeCell ref="M59:N60"/>
    <mergeCell ref="A61:A75"/>
    <mergeCell ref="M61:N75"/>
    <mergeCell ref="B62:B66"/>
    <mergeCell ref="B67:B71"/>
    <mergeCell ref="B74:B75"/>
    <mergeCell ref="A96:A97"/>
    <mergeCell ref="B96:B97"/>
    <mergeCell ref="M96:N97"/>
    <mergeCell ref="A78:A80"/>
    <mergeCell ref="B78:B80"/>
    <mergeCell ref="M78:N80"/>
    <mergeCell ref="A81:A86"/>
    <mergeCell ref="B81:B82"/>
    <mergeCell ref="M81:N86"/>
    <mergeCell ref="B83:B84"/>
    <mergeCell ref="B85:B86"/>
    <mergeCell ref="A87:A95"/>
    <mergeCell ref="B87:B89"/>
    <mergeCell ref="M87:N95"/>
    <mergeCell ref="B90:B91"/>
    <mergeCell ref="B94:B95"/>
    <mergeCell ref="A103:D103"/>
    <mergeCell ref="M103:N103"/>
    <mergeCell ref="A104:D104"/>
    <mergeCell ref="M104:N104"/>
    <mergeCell ref="A98:A100"/>
    <mergeCell ref="B98:B100"/>
    <mergeCell ref="M98:N100"/>
    <mergeCell ref="A101:D101"/>
    <mergeCell ref="M101:N101"/>
    <mergeCell ref="A102:D102"/>
    <mergeCell ref="M102:N102"/>
  </mergeCells>
  <phoneticPr fontId="15" type="noConversion"/>
  <dataValidations count="3">
    <dataValidation type="list" allowBlank="1" showErrorMessage="1" sqref="C5:C36 C38:C100" xr:uid="{9531E631-4A95-47BA-8306-D1E87CA5F3AD}">
      <formula1>"공통,일반,진로,융합,진로(전공),융합(전공)"</formula1>
    </dataValidation>
    <dataValidation type="list" allowBlank="1" showErrorMessage="1" sqref="B5 B10 B15 B20 B24 B28 B87 B38 B57 B53:B54 B61:B64 B67:B70 B76 B43:B44 B78:B79 B81 B83 B85 B90:B91 B34:B36 B59 B47:B50 B72:B74 B92:B94 B98:B99" xr:uid="{0F231FDF-79D1-4ECB-8C42-B2BF800C5651}">
      <formula1>"국어,수학,영어,사회,과학,체육,예술,기술·가정,정보,제2외국어,한문,교양"</formula1>
    </dataValidation>
    <dataValidation type="list" allowBlank="1" showErrorMessage="1" sqref="O5:O35 O38:O100" xr:uid="{5966585D-6C12-4716-9364-199F730D56BE}">
      <formula1>"성취도 5단계+석차등급O,성취도 5단계+석차등급X,성취도 3단계,이수/미이수"</formula1>
    </dataValidation>
  </dataValidations>
  <printOptions horizontalCentered="1"/>
  <pageMargins left="0.25" right="0.25" top="0.41" bottom="0.38" header="0.3" footer="0.3"/>
  <pageSetup paperSize="8" scale="64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8BB77-7DB2-4750-A0A1-A26A8996F488}">
  <sheetPr>
    <pageSetUpPr fitToPage="1"/>
  </sheetPr>
  <dimension ref="A1:P104"/>
  <sheetViews>
    <sheetView tabSelected="1" topLeftCell="A13" workbookViewId="0">
      <selection sqref="A1:P1"/>
    </sheetView>
  </sheetViews>
  <sheetFormatPr defaultRowHeight="14.4"/>
  <cols>
    <col min="1" max="1" width="11.6640625" customWidth="1"/>
    <col min="2" max="2" width="9.5546875" customWidth="1"/>
    <col min="3" max="3" width="11.88671875" customWidth="1"/>
    <col min="4" max="4" width="24" customWidth="1"/>
    <col min="5" max="5" width="7.88671875" customWidth="1"/>
    <col min="6" max="6" width="7.6640625" customWidth="1"/>
    <col min="7" max="12" width="7.88671875" customWidth="1"/>
    <col min="13" max="13" width="9" customWidth="1"/>
    <col min="14" max="14" width="9.88671875" customWidth="1"/>
    <col min="15" max="15" width="24.109375" customWidth="1"/>
    <col min="16" max="16" width="2" customWidth="1"/>
  </cols>
  <sheetData>
    <row r="1" spans="1:16" ht="25.2">
      <c r="A1" s="353" t="s">
        <v>633</v>
      </c>
      <c r="B1" s="354"/>
      <c r="C1" s="354"/>
      <c r="D1" s="354"/>
      <c r="E1" s="354"/>
      <c r="F1" s="354"/>
      <c r="G1" s="354"/>
      <c r="H1" s="354"/>
      <c r="I1" s="354"/>
      <c r="J1" s="354"/>
      <c r="K1" s="354"/>
      <c r="L1" s="354"/>
      <c r="M1" s="354"/>
      <c r="N1" s="354"/>
      <c r="O1" s="354"/>
      <c r="P1" s="354"/>
    </row>
    <row r="2" spans="1:16" ht="19.8" thickBot="1">
      <c r="A2" s="355" t="s">
        <v>423</v>
      </c>
      <c r="B2" s="356"/>
      <c r="C2" s="356"/>
      <c r="D2" s="356"/>
      <c r="E2" s="356"/>
      <c r="F2" s="356"/>
      <c r="G2" s="356"/>
      <c r="H2" s="356"/>
      <c r="I2" s="356"/>
      <c r="J2" s="356"/>
      <c r="K2" s="356"/>
      <c r="L2" s="356"/>
      <c r="M2" s="356"/>
      <c r="N2" s="356"/>
      <c r="O2" s="356"/>
      <c r="P2" s="11"/>
    </row>
    <row r="3" spans="1:16" ht="17.399999999999999">
      <c r="A3" s="357" t="s">
        <v>419</v>
      </c>
      <c r="B3" s="359" t="s">
        <v>0</v>
      </c>
      <c r="C3" s="361" t="s">
        <v>1</v>
      </c>
      <c r="D3" s="359" t="s">
        <v>2</v>
      </c>
      <c r="E3" s="361" t="s">
        <v>3</v>
      </c>
      <c r="F3" s="362" t="s">
        <v>4</v>
      </c>
      <c r="G3" s="363" t="s">
        <v>5</v>
      </c>
      <c r="H3" s="364"/>
      <c r="I3" s="365" t="s">
        <v>6</v>
      </c>
      <c r="J3" s="364"/>
      <c r="K3" s="365" t="s">
        <v>7</v>
      </c>
      <c r="L3" s="364"/>
      <c r="M3" s="366" t="s">
        <v>8</v>
      </c>
      <c r="N3" s="367"/>
      <c r="O3" s="368" t="s">
        <v>9</v>
      </c>
      <c r="P3" s="11"/>
    </row>
    <row r="4" spans="1:16" ht="18" thickBot="1">
      <c r="A4" s="358"/>
      <c r="B4" s="360"/>
      <c r="C4" s="360"/>
      <c r="D4" s="360"/>
      <c r="E4" s="360"/>
      <c r="F4" s="275"/>
      <c r="G4" s="30" t="s">
        <v>10</v>
      </c>
      <c r="H4" s="1" t="s">
        <v>11</v>
      </c>
      <c r="I4" s="1" t="s">
        <v>10</v>
      </c>
      <c r="J4" s="1" t="s">
        <v>11</v>
      </c>
      <c r="K4" s="1" t="s">
        <v>10</v>
      </c>
      <c r="L4" s="1" t="s">
        <v>11</v>
      </c>
      <c r="M4" s="1" t="s">
        <v>0</v>
      </c>
      <c r="N4" s="31" t="s">
        <v>12</v>
      </c>
      <c r="O4" s="369"/>
      <c r="P4" s="11"/>
    </row>
    <row r="5" spans="1:16" ht="17.399999999999999">
      <c r="A5" s="332" t="s">
        <v>13</v>
      </c>
      <c r="B5" s="333" t="s">
        <v>14</v>
      </c>
      <c r="C5" s="200" t="str">
        <f>VLOOKUP(D5,숨김!$B$3:$E$300,2,0)</f>
        <v>공통</v>
      </c>
      <c r="D5" s="200" t="s">
        <v>308</v>
      </c>
      <c r="E5" s="200">
        <f>VLOOKUP(D5,숨김!$B$3:$E$300,3,0)</f>
        <v>4</v>
      </c>
      <c r="F5" s="201">
        <v>4</v>
      </c>
      <c r="G5" s="203">
        <v>4</v>
      </c>
      <c r="H5" s="200"/>
      <c r="I5" s="200"/>
      <c r="J5" s="200"/>
      <c r="K5" s="200"/>
      <c r="L5" s="200"/>
      <c r="M5" s="333">
        <f>SUM(G5:L9)</f>
        <v>20</v>
      </c>
      <c r="N5" s="335">
        <f>SUM(M5,M10,M15)</f>
        <v>60</v>
      </c>
      <c r="O5" s="202" t="str">
        <f>VLOOKUP(D5,숨김!$B$3:$E$300,4,0)</f>
        <v>성취도 5단계+석차등급O</v>
      </c>
      <c r="P5" s="11"/>
    </row>
    <row r="6" spans="1:16" ht="17.399999999999999">
      <c r="A6" s="304"/>
      <c r="B6" s="334"/>
      <c r="C6" s="200" t="str">
        <f>VLOOKUP(D6,숨김!$B$3:$E$300,2,0)</f>
        <v>공통</v>
      </c>
      <c r="D6" s="200" t="s">
        <v>301</v>
      </c>
      <c r="E6" s="200">
        <f>VLOOKUP(D6,숨김!$B$3:$E$300,3,0)</f>
        <v>4</v>
      </c>
      <c r="F6" s="201">
        <v>4</v>
      </c>
      <c r="G6" s="203"/>
      <c r="H6" s="200">
        <v>4</v>
      </c>
      <c r="I6" s="200"/>
      <c r="J6" s="200"/>
      <c r="K6" s="200"/>
      <c r="L6" s="200"/>
      <c r="M6" s="334"/>
      <c r="N6" s="336"/>
      <c r="O6" s="202" t="str">
        <f>VLOOKUP(D6,숨김!$B$3:$E$300,4,0)</f>
        <v>성취도 5단계+석차등급O</v>
      </c>
      <c r="P6" s="11"/>
    </row>
    <row r="7" spans="1:16" ht="17.399999999999999">
      <c r="A7" s="304"/>
      <c r="B7" s="334"/>
      <c r="C7" s="200" t="str">
        <f>VLOOKUP(D7,숨김!$B$3:$E$300,2,0)</f>
        <v>일반</v>
      </c>
      <c r="D7" s="200" t="s">
        <v>424</v>
      </c>
      <c r="E7" s="200">
        <f>VLOOKUP(D7,숨김!$B$3:$E$300,3,0)</f>
        <v>4</v>
      </c>
      <c r="F7" s="201">
        <v>4</v>
      </c>
      <c r="G7" s="203"/>
      <c r="H7" s="200"/>
      <c r="I7" s="200">
        <v>4</v>
      </c>
      <c r="J7" s="200"/>
      <c r="K7" s="200"/>
      <c r="L7" s="200"/>
      <c r="M7" s="334"/>
      <c r="N7" s="336"/>
      <c r="O7" s="202" t="str">
        <f>VLOOKUP(D7,숨김!$B$3:$E$300,4,0)</f>
        <v>성취도 5단계+석차등급O</v>
      </c>
      <c r="P7" s="11"/>
    </row>
    <row r="8" spans="1:16" ht="17.399999999999999">
      <c r="A8" s="304"/>
      <c r="B8" s="334"/>
      <c r="C8" s="200" t="str">
        <f>VLOOKUP(D8,숨김!$B$3:$E$300,2,0)</f>
        <v>일반</v>
      </c>
      <c r="D8" s="59" t="s">
        <v>425</v>
      </c>
      <c r="E8" s="200">
        <f>VLOOKUP(D8,숨김!$B$3:$E$300,3,0)</f>
        <v>4</v>
      </c>
      <c r="F8" s="201">
        <v>4</v>
      </c>
      <c r="G8" s="60"/>
      <c r="H8" s="59"/>
      <c r="I8" s="59"/>
      <c r="J8" s="59">
        <v>4</v>
      </c>
      <c r="K8" s="59"/>
      <c r="L8" s="59"/>
      <c r="M8" s="334"/>
      <c r="N8" s="336"/>
      <c r="O8" s="202" t="str">
        <f>VLOOKUP(D8,숨김!$B$3:$E$300,4,0)</f>
        <v>성취도 5단계+석차등급O</v>
      </c>
      <c r="P8" s="11"/>
    </row>
    <row r="9" spans="1:16" ht="17.399999999999999">
      <c r="A9" s="304"/>
      <c r="B9" s="334"/>
      <c r="C9" s="200" t="str">
        <f>VLOOKUP(D9,숨김!$B$3:$E$300,2,0)</f>
        <v>일반</v>
      </c>
      <c r="D9" s="59" t="s">
        <v>426</v>
      </c>
      <c r="E9" s="200">
        <f>VLOOKUP(D9,숨김!$B$3:$E$300,3,0)</f>
        <v>4</v>
      </c>
      <c r="F9" s="201">
        <v>4</v>
      </c>
      <c r="G9" s="60"/>
      <c r="H9" s="59"/>
      <c r="I9" s="59"/>
      <c r="J9" s="59"/>
      <c r="K9" s="59">
        <v>4</v>
      </c>
      <c r="L9" s="59"/>
      <c r="M9" s="334"/>
      <c r="N9" s="336"/>
      <c r="O9" s="202" t="str">
        <f>VLOOKUP(D9,숨김!$B$3:$E$300,4,0)</f>
        <v>성취도 5단계+석차등급O</v>
      </c>
      <c r="P9" s="11"/>
    </row>
    <row r="10" spans="1:16" ht="17.399999999999999">
      <c r="A10" s="304"/>
      <c r="B10" s="339" t="s">
        <v>20</v>
      </c>
      <c r="C10" s="200" t="str">
        <f>VLOOKUP(D10,숨김!$B$3:$E$300,2,0)</f>
        <v>공통</v>
      </c>
      <c r="D10" s="59" t="s">
        <v>21</v>
      </c>
      <c r="E10" s="200">
        <f>VLOOKUP(D10,숨김!$B$3:$E$300,3,0)</f>
        <v>4</v>
      </c>
      <c r="F10" s="201">
        <v>4</v>
      </c>
      <c r="G10" s="60">
        <v>4</v>
      </c>
      <c r="H10" s="59"/>
      <c r="I10" s="59"/>
      <c r="J10" s="59"/>
      <c r="K10" s="59"/>
      <c r="L10" s="61"/>
      <c r="M10" s="340">
        <f t="shared" ref="M10" si="0">SUM(G10:L14)</f>
        <v>20</v>
      </c>
      <c r="N10" s="337"/>
      <c r="O10" s="202" t="str">
        <f>VLOOKUP(D10,숨김!$B$3:$E$300,4,0)</f>
        <v>성취도 5단계+석차등급O</v>
      </c>
      <c r="P10" s="11"/>
    </row>
    <row r="11" spans="1:16" ht="17.399999999999999">
      <c r="A11" s="304"/>
      <c r="B11" s="334"/>
      <c r="C11" s="200" t="str">
        <f>VLOOKUP(D11,숨김!$B$3:$E$300,2,0)</f>
        <v>공통</v>
      </c>
      <c r="D11" s="59" t="s">
        <v>22</v>
      </c>
      <c r="E11" s="200">
        <f>VLOOKUP(D11,숨김!$B$3:$E$300,3,0)</f>
        <v>4</v>
      </c>
      <c r="F11" s="201">
        <v>4</v>
      </c>
      <c r="G11" s="60"/>
      <c r="H11" s="59">
        <v>4</v>
      </c>
      <c r="I11" s="59"/>
      <c r="J11" s="59"/>
      <c r="K11" s="59"/>
      <c r="L11" s="61"/>
      <c r="M11" s="341"/>
      <c r="N11" s="337"/>
      <c r="O11" s="202" t="str">
        <f>VLOOKUP(D11,숨김!$B$3:$E$300,4,0)</f>
        <v>성취도 5단계+석차등급O</v>
      </c>
      <c r="P11" s="11"/>
    </row>
    <row r="12" spans="1:16" ht="17.399999999999999">
      <c r="A12" s="304"/>
      <c r="B12" s="334"/>
      <c r="C12" s="200" t="str">
        <f>VLOOKUP(D12,숨김!$B$3:$E$300,2,0)</f>
        <v>일반</v>
      </c>
      <c r="D12" s="59" t="s">
        <v>427</v>
      </c>
      <c r="E12" s="200">
        <f>VLOOKUP(D12,숨김!$B$3:$E$300,3,0)</f>
        <v>4</v>
      </c>
      <c r="F12" s="201">
        <v>4</v>
      </c>
      <c r="G12" s="60"/>
      <c r="H12" s="59"/>
      <c r="I12" s="59">
        <v>4</v>
      </c>
      <c r="J12" s="59"/>
      <c r="K12" s="59"/>
      <c r="L12" s="61"/>
      <c r="M12" s="341"/>
      <c r="N12" s="337"/>
      <c r="O12" s="202" t="str">
        <f>VLOOKUP(D12,숨김!$B$3:$E$300,4,0)</f>
        <v>성취도 5단계+석차등급O</v>
      </c>
      <c r="P12" s="11"/>
    </row>
    <row r="13" spans="1:16" ht="17.399999999999999">
      <c r="A13" s="304"/>
      <c r="B13" s="334"/>
      <c r="C13" s="200" t="str">
        <f>VLOOKUP(D13,숨김!$B$3:$E$300,2,0)</f>
        <v>일반</v>
      </c>
      <c r="D13" s="59" t="s">
        <v>428</v>
      </c>
      <c r="E13" s="200">
        <f>VLOOKUP(D13,숨김!$B$3:$E$300,3,0)</f>
        <v>4</v>
      </c>
      <c r="F13" s="201">
        <v>4</v>
      </c>
      <c r="G13" s="60"/>
      <c r="H13" s="59"/>
      <c r="I13" s="59"/>
      <c r="J13" s="59">
        <v>4</v>
      </c>
      <c r="K13" s="59"/>
      <c r="L13" s="61"/>
      <c r="M13" s="341"/>
      <c r="N13" s="337"/>
      <c r="O13" s="202" t="str">
        <f>VLOOKUP(D13,숨김!$B$3:$E$300,4,0)</f>
        <v>성취도 5단계+석차등급O</v>
      </c>
      <c r="P13" s="11"/>
    </row>
    <row r="14" spans="1:16" ht="17.399999999999999">
      <c r="A14" s="304"/>
      <c r="B14" s="334"/>
      <c r="C14" s="200" t="str">
        <f>VLOOKUP(D14,숨김!$B$3:$E$300,2,0)</f>
        <v>일반</v>
      </c>
      <c r="D14" s="59" t="s">
        <v>429</v>
      </c>
      <c r="E14" s="200">
        <f>VLOOKUP(D14,숨김!$B$3:$E$300,3,0)</f>
        <v>4</v>
      </c>
      <c r="F14" s="201">
        <v>4</v>
      </c>
      <c r="G14" s="60"/>
      <c r="H14" s="59"/>
      <c r="I14" s="59"/>
      <c r="J14" s="59"/>
      <c r="K14" s="59">
        <v>4</v>
      </c>
      <c r="L14" s="61"/>
      <c r="M14" s="341"/>
      <c r="N14" s="337"/>
      <c r="O14" s="202" t="str">
        <f>VLOOKUP(D14,숨김!$B$3:$E$300,4,0)</f>
        <v>성취도 5단계+석차등급O</v>
      </c>
      <c r="P14" s="11"/>
    </row>
    <row r="15" spans="1:16" ht="17.399999999999999">
      <c r="A15" s="304"/>
      <c r="B15" s="339" t="s">
        <v>23</v>
      </c>
      <c r="C15" s="200" t="str">
        <f>VLOOKUP(D15,숨김!$B$3:$E$300,2,0)</f>
        <v>공통</v>
      </c>
      <c r="D15" s="59" t="s">
        <v>24</v>
      </c>
      <c r="E15" s="200">
        <f>VLOOKUP(D15,숨김!$B$3:$E$300,3,0)</f>
        <v>4</v>
      </c>
      <c r="F15" s="201">
        <v>4</v>
      </c>
      <c r="G15" s="60">
        <v>4</v>
      </c>
      <c r="H15" s="59"/>
      <c r="I15" s="59"/>
      <c r="J15" s="59"/>
      <c r="K15" s="59"/>
      <c r="L15" s="59"/>
      <c r="M15" s="342">
        <f t="shared" ref="M15" si="1">SUM(G15:L19)</f>
        <v>20</v>
      </c>
      <c r="N15" s="336"/>
      <c r="O15" s="202" t="str">
        <f>VLOOKUP(D15,숨김!$B$3:$E$300,4,0)</f>
        <v>성취도 5단계+석차등급O</v>
      </c>
      <c r="P15" s="11"/>
    </row>
    <row r="16" spans="1:16" ht="17.399999999999999">
      <c r="A16" s="304"/>
      <c r="B16" s="334"/>
      <c r="C16" s="200" t="str">
        <f>VLOOKUP(D16,숨김!$B$3:$E$300,2,0)</f>
        <v>공통</v>
      </c>
      <c r="D16" s="59" t="s">
        <v>25</v>
      </c>
      <c r="E16" s="200">
        <f>VLOOKUP(D16,숨김!$B$3:$E$300,3,0)</f>
        <v>4</v>
      </c>
      <c r="F16" s="201">
        <v>4</v>
      </c>
      <c r="G16" s="60"/>
      <c r="H16" s="59">
        <v>4</v>
      </c>
      <c r="I16" s="59"/>
      <c r="J16" s="59"/>
      <c r="K16" s="59"/>
      <c r="L16" s="59"/>
      <c r="M16" s="334"/>
      <c r="N16" s="336"/>
      <c r="O16" s="202" t="str">
        <f>VLOOKUP(D16,숨김!$B$3:$E$300,4,0)</f>
        <v>성취도 5단계+석차등급O</v>
      </c>
      <c r="P16" s="11"/>
    </row>
    <row r="17" spans="1:16" ht="17.399999999999999">
      <c r="A17" s="304"/>
      <c r="B17" s="334"/>
      <c r="C17" s="200" t="str">
        <f>VLOOKUP(D17,숨김!$B$3:$E$300,2,0)</f>
        <v>일반</v>
      </c>
      <c r="D17" s="59" t="s">
        <v>430</v>
      </c>
      <c r="E17" s="200">
        <f>VLOOKUP(D17,숨김!$B$3:$E$300,3,0)</f>
        <v>4</v>
      </c>
      <c r="F17" s="201">
        <v>4</v>
      </c>
      <c r="G17" s="60"/>
      <c r="H17" s="59"/>
      <c r="I17" s="59">
        <v>4</v>
      </c>
      <c r="J17" s="59"/>
      <c r="K17" s="59"/>
      <c r="L17" s="59"/>
      <c r="M17" s="334"/>
      <c r="N17" s="336"/>
      <c r="O17" s="202" t="str">
        <f>VLOOKUP(D17,숨김!$B$3:$E$300,4,0)</f>
        <v>성취도 5단계+석차등급O</v>
      </c>
      <c r="P17" s="11"/>
    </row>
    <row r="18" spans="1:16" ht="17.399999999999999">
      <c r="A18" s="304"/>
      <c r="B18" s="334"/>
      <c r="C18" s="200" t="str">
        <f>VLOOKUP(D18,숨김!$B$3:$E$300,2,0)</f>
        <v>일반</v>
      </c>
      <c r="D18" s="59" t="s">
        <v>431</v>
      </c>
      <c r="E18" s="200">
        <f>VLOOKUP(D18,숨김!$B$3:$E$300,3,0)</f>
        <v>4</v>
      </c>
      <c r="F18" s="201">
        <v>4</v>
      </c>
      <c r="G18" s="60"/>
      <c r="H18" s="59"/>
      <c r="I18" s="59"/>
      <c r="J18" s="59">
        <v>4</v>
      </c>
      <c r="K18" s="59"/>
      <c r="L18" s="59"/>
      <c r="M18" s="334"/>
      <c r="N18" s="336"/>
      <c r="O18" s="202" t="str">
        <f>VLOOKUP(D18,숨김!$B$3:$E$300,4,0)</f>
        <v>성취도 5단계+석차등급O</v>
      </c>
      <c r="P18" s="11"/>
    </row>
    <row r="19" spans="1:16" ht="17.399999999999999">
      <c r="A19" s="304"/>
      <c r="B19" s="334"/>
      <c r="C19" s="200" t="str">
        <f>VLOOKUP(D19,숨김!$B$3:$E$300,2,0)</f>
        <v>일반</v>
      </c>
      <c r="D19" s="59" t="s">
        <v>432</v>
      </c>
      <c r="E19" s="200">
        <f>VLOOKUP(D19,숨김!$B$3:$E$300,3,0)</f>
        <v>4</v>
      </c>
      <c r="F19" s="201">
        <v>4</v>
      </c>
      <c r="G19" s="60"/>
      <c r="H19" s="59"/>
      <c r="I19" s="59"/>
      <c r="J19" s="59"/>
      <c r="K19" s="59">
        <v>4</v>
      </c>
      <c r="L19" s="59"/>
      <c r="M19" s="334"/>
      <c r="N19" s="338"/>
      <c r="O19" s="202" t="str">
        <f>VLOOKUP(D19,숨김!$B$3:$E$300,4,0)</f>
        <v>성취도 5단계+석차등급O</v>
      </c>
      <c r="P19" s="11"/>
    </row>
    <row r="20" spans="1:16" ht="17.399999999999999">
      <c r="A20" s="304"/>
      <c r="B20" s="322" t="s">
        <v>57</v>
      </c>
      <c r="C20" s="200" t="str">
        <f>VLOOKUP(D20,숨김!$B$3:$E$300,2,0)</f>
        <v>공통</v>
      </c>
      <c r="D20" s="59" t="s">
        <v>26</v>
      </c>
      <c r="E20" s="200">
        <f>VLOOKUP(D20,숨김!$B$3:$E$300,3,0)</f>
        <v>3</v>
      </c>
      <c r="F20" s="201">
        <v>3</v>
      </c>
      <c r="G20" s="60">
        <v>3</v>
      </c>
      <c r="H20" s="59"/>
      <c r="I20" s="59"/>
      <c r="J20" s="59"/>
      <c r="K20" s="59"/>
      <c r="L20" s="59"/>
      <c r="M20" s="324">
        <f>SUM(G20:L21)</f>
        <v>6</v>
      </c>
      <c r="N20" s="343"/>
      <c r="O20" s="202" t="str">
        <f>VLOOKUP(D20,숨김!$B$3:$E$300,4,0)</f>
        <v>성취도 5단계+석차등급O</v>
      </c>
      <c r="P20" s="11"/>
    </row>
    <row r="21" spans="1:16" ht="17.399999999999999">
      <c r="A21" s="304"/>
      <c r="B21" s="342"/>
      <c r="C21" s="200" t="str">
        <f>VLOOKUP(D21,숨김!$B$3:$E$300,2,0)</f>
        <v>공통</v>
      </c>
      <c r="D21" s="59" t="s">
        <v>27</v>
      </c>
      <c r="E21" s="200">
        <f>VLOOKUP(D21,숨김!$B$3:$E$300,3,0)</f>
        <v>3</v>
      </c>
      <c r="F21" s="201">
        <v>3</v>
      </c>
      <c r="G21" s="60"/>
      <c r="H21" s="59">
        <v>3</v>
      </c>
      <c r="I21" s="59"/>
      <c r="J21" s="59"/>
      <c r="K21" s="59"/>
      <c r="L21" s="59"/>
      <c r="M21" s="344"/>
      <c r="N21" s="345"/>
      <c r="O21" s="202" t="str">
        <f>VLOOKUP(D21,숨김!$B$3:$E$300,4,0)</f>
        <v>성취도 5단계+석차등급O</v>
      </c>
      <c r="P21" s="11"/>
    </row>
    <row r="22" spans="1:16" ht="17.399999999999999">
      <c r="A22" s="304"/>
      <c r="B22" s="342"/>
      <c r="C22" s="200" t="str">
        <f>VLOOKUP(D22,숨김!$B$3:$E$300,2,0)</f>
        <v>공통</v>
      </c>
      <c r="D22" s="59" t="s">
        <v>28</v>
      </c>
      <c r="E22" s="200">
        <f>VLOOKUP(D22,숨김!$B$3:$E$300,3,0)</f>
        <v>4</v>
      </c>
      <c r="F22" s="201">
        <v>4</v>
      </c>
      <c r="G22" s="60">
        <v>4</v>
      </c>
      <c r="H22" s="59"/>
      <c r="I22" s="59"/>
      <c r="J22" s="59"/>
      <c r="K22" s="59"/>
      <c r="L22" s="59"/>
      <c r="M22" s="324">
        <f>SUM(G22:L23)</f>
        <v>8</v>
      </c>
      <c r="N22" s="343"/>
      <c r="O22" s="202" t="str">
        <f>VLOOKUP(D22,숨김!$B$3:$E$300,4,0)</f>
        <v>성취도 5단계+석차등급O</v>
      </c>
      <c r="P22" s="11"/>
    </row>
    <row r="23" spans="1:16" ht="17.399999999999999">
      <c r="A23" s="304"/>
      <c r="B23" s="323"/>
      <c r="C23" s="200" t="str">
        <f>VLOOKUP(D23,숨김!$B$3:$E$300,2,0)</f>
        <v>공통</v>
      </c>
      <c r="D23" s="59" t="s">
        <v>29</v>
      </c>
      <c r="E23" s="200">
        <f>VLOOKUP(D23,숨김!$B$3:$E$300,3,0)</f>
        <v>4</v>
      </c>
      <c r="F23" s="201">
        <v>4</v>
      </c>
      <c r="G23" s="60"/>
      <c r="H23" s="59">
        <v>4</v>
      </c>
      <c r="I23" s="59"/>
      <c r="J23" s="59"/>
      <c r="K23" s="59"/>
      <c r="L23" s="59"/>
      <c r="M23" s="344"/>
      <c r="N23" s="345"/>
      <c r="O23" s="202" t="str">
        <f>VLOOKUP(D23,숨김!$B$3:$E$300,4,0)</f>
        <v>성취도 5단계+석차등급O</v>
      </c>
      <c r="P23" s="11"/>
    </row>
    <row r="24" spans="1:16" ht="17.399999999999999">
      <c r="A24" s="304"/>
      <c r="B24" s="339" t="s">
        <v>56</v>
      </c>
      <c r="C24" s="200" t="str">
        <f>VLOOKUP(D24,숨김!$B$3:$E$300,2,0)</f>
        <v>공통</v>
      </c>
      <c r="D24" s="59" t="s">
        <v>30</v>
      </c>
      <c r="E24" s="200">
        <f>VLOOKUP(D24,숨김!$B$3:$E$300,3,0)</f>
        <v>4</v>
      </c>
      <c r="F24" s="201">
        <v>4</v>
      </c>
      <c r="G24" s="60">
        <v>4</v>
      </c>
      <c r="H24" s="59"/>
      <c r="I24" s="59"/>
      <c r="J24" s="59"/>
      <c r="K24" s="59"/>
      <c r="L24" s="59"/>
      <c r="M24" s="324">
        <f>SUM(G24:L27)</f>
        <v>10</v>
      </c>
      <c r="N24" s="347"/>
      <c r="O24" s="202" t="str">
        <f>VLOOKUP(D24,숨김!$B$3:$E$300,4,0)</f>
        <v>성취도 5단계+석차등급O</v>
      </c>
      <c r="P24" s="11"/>
    </row>
    <row r="25" spans="1:16" ht="17.399999999999999">
      <c r="A25" s="304"/>
      <c r="B25" s="334"/>
      <c r="C25" s="200" t="str">
        <f>VLOOKUP(D25,숨김!$B$3:$E$300,2,0)</f>
        <v>공통</v>
      </c>
      <c r="D25" s="59" t="s">
        <v>31</v>
      </c>
      <c r="E25" s="200">
        <f>VLOOKUP(D25,숨김!$B$3:$E$300,3,0)</f>
        <v>4</v>
      </c>
      <c r="F25" s="201">
        <v>4</v>
      </c>
      <c r="G25" s="60"/>
      <c r="H25" s="59">
        <v>4</v>
      </c>
      <c r="I25" s="59"/>
      <c r="J25" s="59"/>
      <c r="K25" s="59"/>
      <c r="L25" s="59"/>
      <c r="M25" s="348"/>
      <c r="N25" s="349"/>
      <c r="O25" s="202" t="str">
        <f>VLOOKUP(D25,숨김!$B$3:$E$300,4,0)</f>
        <v>성취도 5단계+석차등급O</v>
      </c>
      <c r="P25" s="11"/>
    </row>
    <row r="26" spans="1:16" ht="17.399999999999999">
      <c r="A26" s="304"/>
      <c r="B26" s="334"/>
      <c r="C26" s="200" t="str">
        <f>VLOOKUP(D26,숨김!$B$3:$E$300,2,0)</f>
        <v>공통</v>
      </c>
      <c r="D26" s="59" t="s">
        <v>32</v>
      </c>
      <c r="E26" s="200">
        <f>VLOOKUP(D26,숨김!$B$3:$E$300,3,0)</f>
        <v>1</v>
      </c>
      <c r="F26" s="201">
        <v>1</v>
      </c>
      <c r="G26" s="60">
        <v>1</v>
      </c>
      <c r="H26" s="59"/>
      <c r="I26" s="59"/>
      <c r="J26" s="59"/>
      <c r="K26" s="59"/>
      <c r="L26" s="59"/>
      <c r="M26" s="348"/>
      <c r="N26" s="349"/>
      <c r="O26" s="202" t="str">
        <f>VLOOKUP(D26,숨김!$B$3:$E$300,4,0)</f>
        <v>성취도 3단계</v>
      </c>
      <c r="P26" s="11"/>
    </row>
    <row r="27" spans="1:16" ht="17.399999999999999">
      <c r="A27" s="304"/>
      <c r="B27" s="346"/>
      <c r="C27" s="200" t="str">
        <f>VLOOKUP(D27,숨김!$B$3:$E$300,2,0)</f>
        <v>공통</v>
      </c>
      <c r="D27" s="59" t="s">
        <v>34</v>
      </c>
      <c r="E27" s="200">
        <f>VLOOKUP(D27,숨김!$B$3:$E$300,3,0)</f>
        <v>1</v>
      </c>
      <c r="F27" s="201">
        <v>1</v>
      </c>
      <c r="G27" s="60"/>
      <c r="H27" s="59">
        <v>1</v>
      </c>
      <c r="I27" s="59"/>
      <c r="J27" s="59"/>
      <c r="K27" s="59"/>
      <c r="L27" s="59"/>
      <c r="M27" s="350"/>
      <c r="N27" s="351"/>
      <c r="O27" s="202" t="str">
        <f>VLOOKUP(D27,숨김!$B$3:$E$300,4,0)</f>
        <v>성취도 3단계</v>
      </c>
      <c r="P27" s="11"/>
    </row>
    <row r="28" spans="1:16" ht="17.399999999999999">
      <c r="A28" s="304"/>
      <c r="B28" s="339" t="s">
        <v>300</v>
      </c>
      <c r="C28" s="200" t="str">
        <f>VLOOKUP(D28,숨김!$B$3:$E$300,2,0)</f>
        <v>일반</v>
      </c>
      <c r="D28" s="59" t="s">
        <v>433</v>
      </c>
      <c r="E28" s="200">
        <f>VLOOKUP(D28,숨김!$B$3:$E$300,3,0)</f>
        <v>3</v>
      </c>
      <c r="F28" s="201">
        <v>2</v>
      </c>
      <c r="G28" s="60">
        <v>2</v>
      </c>
      <c r="H28" s="59"/>
      <c r="I28" s="59"/>
      <c r="J28" s="59"/>
      <c r="K28" s="59"/>
      <c r="L28" s="59"/>
      <c r="M28" s="324">
        <f>SUM(G28:L33)</f>
        <v>10</v>
      </c>
      <c r="N28" s="343"/>
      <c r="O28" s="202" t="str">
        <f>VLOOKUP(D28,숨김!$B$3:$E$300,4,0)</f>
        <v>성취도 3단계</v>
      </c>
      <c r="P28" s="11"/>
    </row>
    <row r="29" spans="1:16" ht="17.399999999999999">
      <c r="A29" s="304"/>
      <c r="B29" s="334"/>
      <c r="C29" s="200" t="str">
        <f>VLOOKUP(D29,숨김!$B$3:$E$300,2,0)</f>
        <v>일반</v>
      </c>
      <c r="D29" s="59" t="s">
        <v>434</v>
      </c>
      <c r="E29" s="200">
        <f>VLOOKUP(D29,숨김!$B$3:$E$300,3,0)</f>
        <v>3</v>
      </c>
      <c r="F29" s="201">
        <v>2</v>
      </c>
      <c r="G29" s="60"/>
      <c r="H29" s="59">
        <v>2</v>
      </c>
      <c r="I29" s="59"/>
      <c r="J29" s="59"/>
      <c r="K29" s="59"/>
      <c r="L29" s="59"/>
      <c r="M29" s="352"/>
      <c r="N29" s="337"/>
      <c r="O29" s="202" t="str">
        <f>VLOOKUP(D29,숨김!$B$3:$E$300,4,0)</f>
        <v>성취도 3단계</v>
      </c>
      <c r="P29" s="11"/>
    </row>
    <row r="30" spans="1:16" ht="17.399999999999999">
      <c r="A30" s="304"/>
      <c r="B30" s="334"/>
      <c r="C30" s="200" t="str">
        <f>VLOOKUP(D30,숨김!$B$3:$E$300,2,0)</f>
        <v>진로</v>
      </c>
      <c r="D30" s="59" t="s">
        <v>435</v>
      </c>
      <c r="E30" s="200">
        <f>VLOOKUP(D30,숨김!$B$3:$E$300,3,0)</f>
        <v>2</v>
      </c>
      <c r="F30" s="201">
        <v>1</v>
      </c>
      <c r="G30" s="60"/>
      <c r="H30" s="59"/>
      <c r="I30" s="59">
        <v>1</v>
      </c>
      <c r="J30" s="59"/>
      <c r="K30" s="59"/>
      <c r="L30" s="59"/>
      <c r="M30" s="352"/>
      <c r="N30" s="337"/>
      <c r="O30" s="202" t="str">
        <f>VLOOKUP(D30,숨김!$B$3:$E$300,4,0)</f>
        <v>성취도 3단계</v>
      </c>
      <c r="P30" s="11"/>
    </row>
    <row r="31" spans="1:16" ht="17.399999999999999">
      <c r="A31" s="304"/>
      <c r="B31" s="334"/>
      <c r="C31" s="200" t="str">
        <f>VLOOKUP(D31,숨김!$B$3:$E$300,2,0)</f>
        <v>진로</v>
      </c>
      <c r="D31" s="59" t="s">
        <v>436</v>
      </c>
      <c r="E31" s="200">
        <f>VLOOKUP(D31,숨김!$B$3:$E$300,3,0)</f>
        <v>2</v>
      </c>
      <c r="F31" s="201">
        <v>1</v>
      </c>
      <c r="G31" s="60"/>
      <c r="H31" s="59"/>
      <c r="I31" s="59"/>
      <c r="J31" s="59">
        <v>1</v>
      </c>
      <c r="K31" s="59"/>
      <c r="L31" s="59"/>
      <c r="M31" s="352"/>
      <c r="N31" s="337"/>
      <c r="O31" s="202" t="str">
        <f>VLOOKUP(D31,숨김!$B$3:$E$300,4,0)</f>
        <v>성취도 3단계</v>
      </c>
      <c r="P31" s="11"/>
    </row>
    <row r="32" spans="1:16" ht="17.399999999999999">
      <c r="A32" s="304"/>
      <c r="B32" s="334"/>
      <c r="C32" s="200" t="str">
        <f>VLOOKUP(D32,숨김!$B$3:$E$300,2,0)</f>
        <v>융합</v>
      </c>
      <c r="D32" s="59" t="s">
        <v>437</v>
      </c>
      <c r="E32" s="200">
        <f>VLOOKUP(D32,숨김!$B$3:$E$300,3,0)</f>
        <v>3</v>
      </c>
      <c r="F32" s="201">
        <v>2</v>
      </c>
      <c r="G32" s="60"/>
      <c r="H32" s="59"/>
      <c r="I32" s="59"/>
      <c r="J32" s="59"/>
      <c r="K32" s="59">
        <v>2</v>
      </c>
      <c r="L32" s="59"/>
      <c r="M32" s="352"/>
      <c r="N32" s="337"/>
      <c r="O32" s="202" t="str">
        <f>VLOOKUP(D32,숨김!$B$3:$E$300,4,0)</f>
        <v>성취도 3단계</v>
      </c>
      <c r="P32" s="11"/>
    </row>
    <row r="33" spans="1:16" ht="17.399999999999999">
      <c r="A33" s="304"/>
      <c r="B33" s="346"/>
      <c r="C33" s="200" t="str">
        <f>VLOOKUP(D33,숨김!$B$3:$E$300,2,0)</f>
        <v>융합</v>
      </c>
      <c r="D33" s="59" t="s">
        <v>438</v>
      </c>
      <c r="E33" s="200">
        <f>VLOOKUP(D33,숨김!$B$3:$E$300,3,0)</f>
        <v>3</v>
      </c>
      <c r="F33" s="201">
        <v>2</v>
      </c>
      <c r="G33" s="60"/>
      <c r="H33" s="59"/>
      <c r="I33" s="59"/>
      <c r="J33" s="59"/>
      <c r="K33" s="59"/>
      <c r="L33" s="59">
        <v>2</v>
      </c>
      <c r="M33" s="344"/>
      <c r="N33" s="345"/>
      <c r="O33" s="202" t="str">
        <f>VLOOKUP(D33,숨김!$B$3:$E$300,4,0)</f>
        <v>성취도 3단계</v>
      </c>
      <c r="P33" s="11"/>
    </row>
    <row r="34" spans="1:16" ht="17.399999999999999">
      <c r="A34" s="304"/>
      <c r="B34" s="199" t="s">
        <v>302</v>
      </c>
      <c r="C34" s="200" t="s">
        <v>19</v>
      </c>
      <c r="D34" s="59" t="s">
        <v>440</v>
      </c>
      <c r="E34" s="200">
        <v>3</v>
      </c>
      <c r="F34" s="201" t="s">
        <v>439</v>
      </c>
      <c r="G34" s="60"/>
      <c r="H34" s="59"/>
      <c r="I34" s="59">
        <v>2</v>
      </c>
      <c r="J34" s="59">
        <v>2</v>
      </c>
      <c r="K34" s="59"/>
      <c r="L34" s="59"/>
      <c r="M34" s="324">
        <f>SUM(G34:L34)</f>
        <v>4</v>
      </c>
      <c r="N34" s="325"/>
      <c r="O34" s="202" t="s">
        <v>33</v>
      </c>
      <c r="P34" s="11"/>
    </row>
    <row r="35" spans="1:16" ht="17.399999999999999">
      <c r="A35" s="304"/>
      <c r="B35" s="62" t="s">
        <v>39</v>
      </c>
      <c r="C35" s="200" t="s">
        <v>19</v>
      </c>
      <c r="D35" s="322" t="s">
        <v>441</v>
      </c>
      <c r="E35" s="322">
        <v>4</v>
      </c>
      <c r="F35" s="328" t="s">
        <v>442</v>
      </c>
      <c r="G35" s="330">
        <v>3</v>
      </c>
      <c r="H35" s="322">
        <v>3</v>
      </c>
      <c r="I35" s="322"/>
      <c r="J35" s="322"/>
      <c r="K35" s="322"/>
      <c r="L35" s="322"/>
      <c r="M35" s="324">
        <v>6</v>
      </c>
      <c r="N35" s="325"/>
      <c r="O35" s="314" t="s">
        <v>17</v>
      </c>
      <c r="P35" s="11"/>
    </row>
    <row r="36" spans="1:16" ht="18" thickBot="1">
      <c r="A36" s="304"/>
      <c r="B36" s="63" t="s">
        <v>40</v>
      </c>
      <c r="C36" s="200" t="s">
        <v>19</v>
      </c>
      <c r="D36" s="323"/>
      <c r="E36" s="323"/>
      <c r="F36" s="329"/>
      <c r="G36" s="331"/>
      <c r="H36" s="323"/>
      <c r="I36" s="323"/>
      <c r="J36" s="323"/>
      <c r="K36" s="323"/>
      <c r="L36" s="323"/>
      <c r="M36" s="326"/>
      <c r="N36" s="327"/>
      <c r="O36" s="315"/>
      <c r="P36" s="11"/>
    </row>
    <row r="37" spans="1:16" ht="18" thickBot="1">
      <c r="A37" s="316" t="s">
        <v>41</v>
      </c>
      <c r="B37" s="317"/>
      <c r="C37" s="317"/>
      <c r="D37" s="318"/>
      <c r="E37" s="9"/>
      <c r="F37" s="198"/>
      <c r="G37" s="34">
        <f t="shared" ref="G37:L37" si="2">SUM(G5:G36)</f>
        <v>29</v>
      </c>
      <c r="H37" s="9">
        <f t="shared" si="2"/>
        <v>29</v>
      </c>
      <c r="I37" s="9">
        <f t="shared" si="2"/>
        <v>15</v>
      </c>
      <c r="J37" s="9">
        <f t="shared" si="2"/>
        <v>15</v>
      </c>
      <c r="K37" s="9">
        <f t="shared" si="2"/>
        <v>14</v>
      </c>
      <c r="L37" s="9">
        <f t="shared" si="2"/>
        <v>2</v>
      </c>
      <c r="M37" s="319">
        <f>SUM(G37:L37)</f>
        <v>104</v>
      </c>
      <c r="N37" s="320"/>
      <c r="O37" s="28"/>
      <c r="P37" s="11"/>
    </row>
    <row r="38" spans="1:16" ht="17.399999999999999">
      <c r="A38" s="267" t="s">
        <v>42</v>
      </c>
      <c r="B38" s="321" t="s">
        <v>445</v>
      </c>
      <c r="C38" s="200" t="str">
        <f>VLOOKUP(D38,숨김!$B$3:$E$300,2,0)</f>
        <v>일반</v>
      </c>
      <c r="D38" s="190" t="s">
        <v>623</v>
      </c>
      <c r="E38" s="190">
        <f>VLOOKUP(D38,숨김!$B$3:$E$300,3,0)</f>
        <v>4</v>
      </c>
      <c r="F38" s="197">
        <v>4</v>
      </c>
      <c r="G38" s="32"/>
      <c r="H38" s="190"/>
      <c r="I38" s="74">
        <v>4</v>
      </c>
      <c r="J38" s="196"/>
      <c r="K38" s="190"/>
      <c r="L38" s="190"/>
      <c r="M38" s="273">
        <f>SUM(G38:L46)</f>
        <v>12</v>
      </c>
      <c r="N38" s="307"/>
      <c r="O38" s="202" t="str">
        <f>VLOOKUP(D38,숨김!$B$3:$E$300,4,0)</f>
        <v>성취도 5단계+석차등급O</v>
      </c>
      <c r="P38" s="11"/>
    </row>
    <row r="39" spans="1:16" ht="17.399999999999999">
      <c r="A39" s="304"/>
      <c r="B39" s="254"/>
      <c r="C39" s="200" t="str">
        <f>VLOOKUP(D39,숨김!$B$3:$E$300,2,0)</f>
        <v>일반</v>
      </c>
      <c r="D39" s="206" t="s">
        <v>624</v>
      </c>
      <c r="E39" s="190">
        <f>VLOOKUP(D39,숨김!$B$3:$E$300,3,0)</f>
        <v>4</v>
      </c>
      <c r="F39" s="197">
        <v>4</v>
      </c>
      <c r="G39" s="33"/>
      <c r="H39" s="2"/>
      <c r="I39" s="195">
        <v>4</v>
      </c>
      <c r="J39" s="2"/>
      <c r="K39" s="2"/>
      <c r="L39" s="2"/>
      <c r="M39" s="306"/>
      <c r="N39" s="307"/>
      <c r="O39" s="202" t="str">
        <f>VLOOKUP(D39,숨김!$B$3:$E$300,4,0)</f>
        <v>성취도 5단계+석차등급O</v>
      </c>
      <c r="P39" s="11"/>
    </row>
    <row r="40" spans="1:16" ht="17.399999999999999">
      <c r="A40" s="304"/>
      <c r="B40" s="254"/>
      <c r="C40" s="200" t="str">
        <f>VLOOKUP(D40,숨김!$B$3:$E$300,2,0)</f>
        <v>진로</v>
      </c>
      <c r="D40" s="2" t="s">
        <v>625</v>
      </c>
      <c r="E40" s="190">
        <f>VLOOKUP(D40,숨김!$B$3:$E$300,3,0)</f>
        <v>4</v>
      </c>
      <c r="F40" s="197">
        <v>4</v>
      </c>
      <c r="G40" s="33"/>
      <c r="H40" s="2"/>
      <c r="I40" s="195">
        <v>4</v>
      </c>
      <c r="J40" s="2"/>
      <c r="K40" s="2"/>
      <c r="L40" s="2"/>
      <c r="M40" s="306"/>
      <c r="N40" s="307"/>
      <c r="O40" s="202" t="str">
        <f>VLOOKUP(D40,숨김!$B$3:$E$300,4,0)</f>
        <v>성취도 5단계+석차등급O</v>
      </c>
      <c r="P40" s="11"/>
    </row>
    <row r="41" spans="1:16" ht="17.399999999999999">
      <c r="A41" s="304"/>
      <c r="B41" s="254"/>
      <c r="C41" s="200" t="str">
        <f>VLOOKUP(D41,숨김!$B$3:$E$300,2,0)</f>
        <v>진로</v>
      </c>
      <c r="D41" s="2" t="s">
        <v>586</v>
      </c>
      <c r="E41" s="190">
        <f>VLOOKUP(D41,숨김!$B$3:$E$300,3,0)</f>
        <v>4</v>
      </c>
      <c r="F41" s="197">
        <v>4</v>
      </c>
      <c r="G41" s="33"/>
      <c r="H41" s="2"/>
      <c r="I41" s="195"/>
      <c r="J41" s="2"/>
      <c r="K41" s="2"/>
      <c r="L41" s="2"/>
      <c r="M41" s="306"/>
      <c r="N41" s="307"/>
      <c r="O41" s="202" t="str">
        <f>VLOOKUP(D41,숨김!$B$3:$E$300,4,0)</f>
        <v>성취도 5단계+석차등급O</v>
      </c>
      <c r="P41" s="11"/>
    </row>
    <row r="42" spans="1:16" ht="17.399999999999999">
      <c r="A42" s="304"/>
      <c r="B42" s="254"/>
      <c r="C42" s="70" t="str">
        <f>VLOOKUP(D42,숨김!$B$3:$E$300,2,0)</f>
        <v>융합</v>
      </c>
      <c r="D42" s="205" t="s">
        <v>626</v>
      </c>
      <c r="E42" s="71">
        <f>VLOOKUP(D42,숨김!$B$3:$E$300,3,0)</f>
        <v>4</v>
      </c>
      <c r="F42" s="72">
        <v>4</v>
      </c>
      <c r="G42" s="73"/>
      <c r="H42" s="71"/>
      <c r="I42" s="195"/>
      <c r="J42" s="71"/>
      <c r="K42" s="188"/>
      <c r="L42" s="188"/>
      <c r="M42" s="306"/>
      <c r="N42" s="307"/>
      <c r="O42" s="202" t="str">
        <f>VLOOKUP(D42,숨김!$B$3:$E$300,4,0)</f>
        <v>성취도 5단계+석차등급X</v>
      </c>
      <c r="P42" s="11"/>
    </row>
    <row r="43" spans="1:16" ht="17.399999999999999">
      <c r="A43" s="304"/>
      <c r="B43" s="269" t="s">
        <v>449</v>
      </c>
      <c r="C43" s="200" t="str">
        <f>VLOOKUP(D43,숨김!$B$3:$E$300,2,0)</f>
        <v>일반</v>
      </c>
      <c r="D43" s="190" t="s">
        <v>450</v>
      </c>
      <c r="E43" s="190">
        <f>VLOOKUP(D43,숨김!$B$3:$E$300,3,0)</f>
        <v>4</v>
      </c>
      <c r="F43" s="197">
        <v>4</v>
      </c>
      <c r="G43" s="32"/>
      <c r="H43" s="190"/>
      <c r="I43" s="195"/>
      <c r="J43" s="190"/>
      <c r="K43" s="188"/>
      <c r="L43" s="188"/>
      <c r="M43" s="306"/>
      <c r="N43" s="307"/>
      <c r="O43" s="202" t="str">
        <f>VLOOKUP(D43,숨김!$B$3:$E$300,4,0)</f>
        <v>성취도 5단계+석차등급O</v>
      </c>
      <c r="P43" s="11"/>
    </row>
    <row r="44" spans="1:16" ht="17.399999999999999">
      <c r="A44" s="304"/>
      <c r="B44" s="254"/>
      <c r="C44" s="200" t="str">
        <f>VLOOKUP(D44,숨김!$B$3:$E$300,2,0)</f>
        <v>일반</v>
      </c>
      <c r="D44" s="2" t="s">
        <v>451</v>
      </c>
      <c r="E44" s="190">
        <f>VLOOKUP(D44,숨김!$B$3:$E$300,3,0)</f>
        <v>4</v>
      </c>
      <c r="F44" s="197">
        <v>4</v>
      </c>
      <c r="G44" s="33"/>
      <c r="H44" s="2"/>
      <c r="I44" s="195"/>
      <c r="J44" s="190"/>
      <c r="K44" s="188"/>
      <c r="L44" s="188"/>
      <c r="M44" s="306"/>
      <c r="N44" s="307"/>
      <c r="O44" s="202" t="str">
        <f>VLOOKUP(D44,숨김!$B$3:$E$300,4,0)</f>
        <v>성취도 5단계+석차등급O</v>
      </c>
      <c r="P44" s="11"/>
    </row>
    <row r="45" spans="1:16" ht="17.399999999999999">
      <c r="A45" s="304"/>
      <c r="B45" s="310"/>
      <c r="C45" s="200" t="str">
        <f>VLOOKUP(D45,숨김!$B$3:$E$300,2,0)</f>
        <v>일반</v>
      </c>
      <c r="D45" s="2" t="s">
        <v>452</v>
      </c>
      <c r="E45" s="190">
        <f>VLOOKUP(D45,숨김!$B$3:$E$300,3,0)</f>
        <v>4</v>
      </c>
      <c r="F45" s="197">
        <v>4</v>
      </c>
      <c r="G45" s="33"/>
      <c r="H45" s="2"/>
      <c r="I45" s="195"/>
      <c r="J45" s="190"/>
      <c r="K45" s="188"/>
      <c r="L45" s="188"/>
      <c r="M45" s="306"/>
      <c r="N45" s="307"/>
      <c r="O45" s="202" t="str">
        <f>VLOOKUP(D45,숨김!$B$3:$E$300,4,0)</f>
        <v>성취도 5단계+석차등급O</v>
      </c>
      <c r="P45" s="11"/>
    </row>
    <row r="46" spans="1:16" ht="17.399999999999999">
      <c r="A46" s="268"/>
      <c r="B46" s="270"/>
      <c r="C46" s="200" t="str">
        <f>VLOOKUP(D46,숨김!$B$3:$E$300,2,0)</f>
        <v>일반</v>
      </c>
      <c r="D46" s="2" t="s">
        <v>453</v>
      </c>
      <c r="E46" s="190">
        <f>VLOOKUP(D46,숨김!$B$3:$E$300,3,0)</f>
        <v>4</v>
      </c>
      <c r="F46" s="197">
        <v>4</v>
      </c>
      <c r="G46" s="33"/>
      <c r="H46" s="2"/>
      <c r="I46" s="196"/>
      <c r="J46" s="190"/>
      <c r="K46" s="188"/>
      <c r="L46" s="188"/>
      <c r="M46" s="308"/>
      <c r="N46" s="309"/>
      <c r="O46" s="202" t="str">
        <f>VLOOKUP(D46,숨김!$B$3:$E$300,4,0)</f>
        <v>성취도 5단계+석차등급O</v>
      </c>
      <c r="P46" s="11"/>
    </row>
    <row r="47" spans="1:16" ht="17.399999999999999">
      <c r="A47" s="266" t="s">
        <v>43</v>
      </c>
      <c r="B47" s="192" t="s">
        <v>20</v>
      </c>
      <c r="C47" s="200" t="str">
        <f>VLOOKUP(D47,숨김!$B$3:$E$300,2,0)</f>
        <v>진로</v>
      </c>
      <c r="D47" s="2" t="s">
        <v>454</v>
      </c>
      <c r="E47" s="190">
        <f>VLOOKUP(D47,숨김!$B$3:$E$300,3,0)</f>
        <v>4</v>
      </c>
      <c r="F47" s="197">
        <v>4</v>
      </c>
      <c r="G47" s="33"/>
      <c r="H47" s="2"/>
      <c r="I47" s="190"/>
      <c r="J47" s="188">
        <v>4</v>
      </c>
      <c r="K47" s="188"/>
      <c r="L47" s="188"/>
      <c r="M47" s="271">
        <f>SUM(G47:L57)</f>
        <v>12</v>
      </c>
      <c r="N47" s="305"/>
      <c r="O47" s="202" t="str">
        <f>VLOOKUP(D47,숨김!$B$3:$E$300,4,0)</f>
        <v>성취도 5단계+석차등급O</v>
      </c>
      <c r="P47" s="11"/>
    </row>
    <row r="48" spans="1:16" ht="17.399999999999999">
      <c r="A48" s="304"/>
      <c r="B48" s="269" t="s">
        <v>445</v>
      </c>
      <c r="C48" s="200" t="str">
        <f>VLOOKUP(D48,숨김!$B$3:$E$300,2,0)</f>
        <v>일반</v>
      </c>
      <c r="D48" s="2" t="s">
        <v>627</v>
      </c>
      <c r="E48" s="190">
        <f>VLOOKUP(D48,숨김!$B$3:$E$300,3,0)</f>
        <v>4</v>
      </c>
      <c r="F48" s="197">
        <v>4</v>
      </c>
      <c r="G48" s="33"/>
      <c r="H48" s="2"/>
      <c r="I48" s="190"/>
      <c r="J48" s="189">
        <v>4</v>
      </c>
      <c r="K48" s="188"/>
      <c r="L48" s="188"/>
      <c r="M48" s="306"/>
      <c r="N48" s="307"/>
      <c r="O48" s="202" t="str">
        <f>VLOOKUP(D48,숨김!$B$3:$E$300,4,0)</f>
        <v>성취도 5단계+석차등급O</v>
      </c>
      <c r="P48" s="11"/>
    </row>
    <row r="49" spans="1:16" ht="17.399999999999999">
      <c r="A49" s="304"/>
      <c r="B49" s="254"/>
      <c r="C49" s="200" t="str">
        <f>VLOOKUP(D49,숨김!$B$3:$E$300,2,0)</f>
        <v>일반</v>
      </c>
      <c r="D49" s="2" t="s">
        <v>628</v>
      </c>
      <c r="E49" s="190">
        <f>VLOOKUP(D49,숨김!$B$3:$E$300,3,0)</f>
        <v>4</v>
      </c>
      <c r="F49" s="197">
        <v>4</v>
      </c>
      <c r="G49" s="33"/>
      <c r="H49" s="2"/>
      <c r="I49" s="190"/>
      <c r="J49" s="189">
        <v>4</v>
      </c>
      <c r="K49" s="188"/>
      <c r="L49" s="188"/>
      <c r="M49" s="306"/>
      <c r="N49" s="307"/>
      <c r="O49" s="202" t="str">
        <f>VLOOKUP(D49,숨김!$B$3:$E$300,4,0)</f>
        <v>성취도 5단계+석차등급O</v>
      </c>
      <c r="P49" s="11"/>
    </row>
    <row r="50" spans="1:16" ht="17.399999999999999">
      <c r="A50" s="304"/>
      <c r="B50" s="254"/>
      <c r="C50" s="200" t="str">
        <f>VLOOKUP(D50,숨김!$B$3:$E$300,2,0)</f>
        <v>진로</v>
      </c>
      <c r="D50" s="2" t="s">
        <v>629</v>
      </c>
      <c r="E50" s="190">
        <f>VLOOKUP(D50,숨김!$B$3:$E$300,3,0)</f>
        <v>4</v>
      </c>
      <c r="F50" s="197">
        <v>4</v>
      </c>
      <c r="G50" s="33"/>
      <c r="H50" s="2"/>
      <c r="I50" s="190"/>
      <c r="J50" s="189"/>
      <c r="K50" s="188"/>
      <c r="L50" s="188"/>
      <c r="M50" s="306"/>
      <c r="N50" s="307"/>
      <c r="O50" s="202" t="str">
        <f>VLOOKUP(D50,숨김!$B$3:$E$300,4,0)</f>
        <v>성취도 5단계+석차등급O</v>
      </c>
      <c r="P50" s="11"/>
    </row>
    <row r="51" spans="1:16" ht="17.399999999999999">
      <c r="A51" s="304"/>
      <c r="B51" s="310"/>
      <c r="C51" s="200" t="str">
        <f>VLOOKUP(D51,숨김!$B$3:$E$300,2,0)</f>
        <v>진로</v>
      </c>
      <c r="D51" s="206" t="s">
        <v>582</v>
      </c>
      <c r="E51" s="190">
        <f>VLOOKUP(D51,숨김!$B$3:$E$300,3,0)</f>
        <v>4</v>
      </c>
      <c r="F51" s="197">
        <v>4</v>
      </c>
      <c r="G51" s="33"/>
      <c r="H51" s="2"/>
      <c r="I51" s="190"/>
      <c r="J51" s="189"/>
      <c r="K51" s="188"/>
      <c r="L51" s="188"/>
      <c r="M51" s="306"/>
      <c r="N51" s="307"/>
      <c r="O51" s="202" t="str">
        <f>VLOOKUP(D51,숨김!$B$3:$E$300,4,0)</f>
        <v>성취도 5단계+석차등급O</v>
      </c>
      <c r="P51" s="11"/>
    </row>
    <row r="52" spans="1:16" s="11" customFormat="1" ht="17.399999999999999">
      <c r="A52" s="304"/>
      <c r="B52" s="310"/>
      <c r="C52" s="200" t="s">
        <v>37</v>
      </c>
      <c r="D52" s="206" t="s">
        <v>448</v>
      </c>
      <c r="E52" s="190">
        <v>4</v>
      </c>
      <c r="F52" s="197">
        <v>4</v>
      </c>
      <c r="G52" s="33"/>
      <c r="H52" s="2"/>
      <c r="I52" s="190"/>
      <c r="J52" s="189"/>
      <c r="K52" s="188"/>
      <c r="L52" s="188"/>
      <c r="M52" s="306"/>
      <c r="N52" s="307"/>
      <c r="O52" s="202" t="s">
        <v>17</v>
      </c>
    </row>
    <row r="53" spans="1:16" ht="17.399999999999999">
      <c r="A53" s="304"/>
      <c r="B53" s="270"/>
      <c r="C53" s="200" t="s">
        <v>38</v>
      </c>
      <c r="D53" s="206" t="s">
        <v>447</v>
      </c>
      <c r="E53" s="190">
        <f>VLOOKUP(D53,숨김!$B$3:$E$300,3,0)</f>
        <v>4</v>
      </c>
      <c r="F53" s="197">
        <v>4</v>
      </c>
      <c r="G53" s="33"/>
      <c r="H53" s="2"/>
      <c r="I53" s="190"/>
      <c r="J53" s="189"/>
      <c r="K53" s="188"/>
      <c r="L53" s="188"/>
      <c r="M53" s="306"/>
      <c r="N53" s="307"/>
      <c r="O53" s="202" t="str">
        <f>VLOOKUP(D53,숨김!$B$3:$E$300,4,0)</f>
        <v>성취도 5단계+석차등급X</v>
      </c>
      <c r="P53" s="11"/>
    </row>
    <row r="54" spans="1:16" ht="17.399999999999999">
      <c r="A54" s="304"/>
      <c r="B54" s="269" t="s">
        <v>449</v>
      </c>
      <c r="C54" s="200" t="str">
        <f>VLOOKUP(D54,숨김!$B$3:$E$300,2,0)</f>
        <v>진로</v>
      </c>
      <c r="D54" s="2" t="s">
        <v>460</v>
      </c>
      <c r="E54" s="190">
        <f>VLOOKUP(D54,숨김!$B$3:$E$300,3,0)</f>
        <v>4</v>
      </c>
      <c r="F54" s="197">
        <v>4</v>
      </c>
      <c r="G54" s="33"/>
      <c r="H54" s="2"/>
      <c r="I54" s="190"/>
      <c r="J54" s="189"/>
      <c r="K54" s="188"/>
      <c r="L54" s="188"/>
      <c r="M54" s="306"/>
      <c r="N54" s="307"/>
      <c r="O54" s="202" t="str">
        <f>VLOOKUP(D54,숨김!$B$3:$E$300,4,0)</f>
        <v>성취도 5단계+석차등급O</v>
      </c>
      <c r="P54" s="11"/>
    </row>
    <row r="55" spans="1:16" ht="17.399999999999999">
      <c r="A55" s="304"/>
      <c r="B55" s="254"/>
      <c r="C55" s="200" t="str">
        <f>VLOOKUP(D55,숨김!$B$3:$E$300,2,0)</f>
        <v>진로</v>
      </c>
      <c r="D55" s="2" t="s">
        <v>461</v>
      </c>
      <c r="E55" s="190">
        <f>VLOOKUP(D55,숨김!$B$3:$E$300,3,0)</f>
        <v>4</v>
      </c>
      <c r="F55" s="197">
        <v>4</v>
      </c>
      <c r="G55" s="33"/>
      <c r="H55" s="2"/>
      <c r="I55" s="190"/>
      <c r="J55" s="189"/>
      <c r="K55" s="188"/>
      <c r="L55" s="188"/>
      <c r="M55" s="306"/>
      <c r="N55" s="307"/>
      <c r="O55" s="202" t="str">
        <f>VLOOKUP(D55,숨김!$B$3:$E$300,4,0)</f>
        <v>성취도 5단계+석차등급O</v>
      </c>
      <c r="P55" s="11"/>
    </row>
    <row r="56" spans="1:16" ht="17.399999999999999">
      <c r="A56" s="304"/>
      <c r="B56" s="310"/>
      <c r="C56" s="200" t="str">
        <f>VLOOKUP(D56,숨김!$B$3:$E$300,2,0)</f>
        <v>진로</v>
      </c>
      <c r="D56" s="2" t="s">
        <v>462</v>
      </c>
      <c r="E56" s="190">
        <f>VLOOKUP(D56,숨김!$B$3:$E$300,3,0)</f>
        <v>4</v>
      </c>
      <c r="F56" s="197">
        <v>4</v>
      </c>
      <c r="G56" s="33"/>
      <c r="H56" s="2"/>
      <c r="I56" s="190"/>
      <c r="J56" s="189"/>
      <c r="K56" s="188"/>
      <c r="L56" s="188"/>
      <c r="M56" s="306"/>
      <c r="N56" s="307"/>
      <c r="O56" s="202" t="str">
        <f>VLOOKUP(D56,숨김!$B$3:$E$300,4,0)</f>
        <v>성취도 5단계+석차등급O</v>
      </c>
      <c r="P56" s="11"/>
    </row>
    <row r="57" spans="1:16" ht="17.399999999999999">
      <c r="A57" s="268"/>
      <c r="B57" s="270"/>
      <c r="C57" s="200" t="str">
        <f>VLOOKUP(D57,숨김!$B$3:$E$300,2,0)</f>
        <v>진로</v>
      </c>
      <c r="D57" s="2" t="s">
        <v>463</v>
      </c>
      <c r="E57" s="190">
        <f>VLOOKUP(D57,숨김!$B$3:$E$300,3,0)</f>
        <v>4</v>
      </c>
      <c r="F57" s="197">
        <v>4</v>
      </c>
      <c r="G57" s="33"/>
      <c r="H57" s="2"/>
      <c r="I57" s="2"/>
      <c r="J57" s="190"/>
      <c r="K57" s="188"/>
      <c r="L57" s="188"/>
      <c r="M57" s="308"/>
      <c r="N57" s="309"/>
      <c r="O57" s="202" t="str">
        <f>VLOOKUP(D57,숨김!$B$3:$E$300,4,0)</f>
        <v>성취도 5단계+석차등급O</v>
      </c>
      <c r="P57" s="11"/>
    </row>
    <row r="58" spans="1:16" ht="17.399999999999999">
      <c r="A58" s="266" t="s">
        <v>44</v>
      </c>
      <c r="B58" s="311" t="s">
        <v>464</v>
      </c>
      <c r="C58" s="200" t="str">
        <f>VLOOKUP(D58,숨김!$B$3:$E$300,2,0)</f>
        <v>일반</v>
      </c>
      <c r="D58" s="190" t="s">
        <v>465</v>
      </c>
      <c r="E58" s="190">
        <f>VLOOKUP(D58,숨김!$B$3:$E$300,3,0)</f>
        <v>4</v>
      </c>
      <c r="F58" s="197">
        <v>3</v>
      </c>
      <c r="G58" s="33"/>
      <c r="H58" s="2"/>
      <c r="I58" s="188">
        <v>3</v>
      </c>
      <c r="J58" s="2"/>
      <c r="K58" s="188"/>
      <c r="L58" s="188"/>
      <c r="M58" s="271">
        <f>SUM(G58:L59)</f>
        <v>3</v>
      </c>
      <c r="N58" s="305"/>
      <c r="O58" s="202" t="str">
        <f>VLOOKUP(D58,숨김!$B$3:$E$300,4,0)</f>
        <v>성취도 5단계+석차등급O</v>
      </c>
      <c r="P58" s="11"/>
    </row>
    <row r="59" spans="1:16" ht="17.399999999999999">
      <c r="A59" s="268"/>
      <c r="B59" s="312"/>
      <c r="C59" s="200" t="str">
        <f>VLOOKUP(D59,숨김!$B$3:$E$300,2,0)</f>
        <v>일반</v>
      </c>
      <c r="D59" s="190" t="s">
        <v>466</v>
      </c>
      <c r="E59" s="190">
        <f>VLOOKUP(D59,숨김!$B$3:$E$300,3,0)</f>
        <v>4</v>
      </c>
      <c r="F59" s="197">
        <v>3</v>
      </c>
      <c r="G59" s="33"/>
      <c r="H59" s="2"/>
      <c r="I59" s="190"/>
      <c r="J59" s="2"/>
      <c r="K59" s="188"/>
      <c r="L59" s="188"/>
      <c r="M59" s="306"/>
      <c r="N59" s="307"/>
      <c r="O59" s="202" t="str">
        <f>VLOOKUP(D59,숨김!$B$3:$E$300,4,0)</f>
        <v>성취도 5단계+석차등급O</v>
      </c>
      <c r="P59" s="11"/>
    </row>
    <row r="60" spans="1:16" ht="17.399999999999999">
      <c r="A60" s="266" t="s">
        <v>45</v>
      </c>
      <c r="B60" s="311" t="s">
        <v>464</v>
      </c>
      <c r="C60" s="200" t="str">
        <f>VLOOKUP(D60,숨김!$B$3:$E$300,2,0)</f>
        <v>진로</v>
      </c>
      <c r="D60" s="190" t="s">
        <v>467</v>
      </c>
      <c r="E60" s="190">
        <f>VLOOKUP(D60,숨김!$B$3:$E$300,3,0)</f>
        <v>4</v>
      </c>
      <c r="F60" s="197">
        <v>3</v>
      </c>
      <c r="G60" s="33"/>
      <c r="H60" s="2"/>
      <c r="I60" s="2"/>
      <c r="J60" s="188">
        <v>3</v>
      </c>
      <c r="K60" s="188"/>
      <c r="L60" s="188"/>
      <c r="M60" s="271">
        <f>SUM(G60:L61)</f>
        <v>3</v>
      </c>
      <c r="N60" s="305"/>
      <c r="O60" s="202" t="str">
        <f>VLOOKUP(D60,숨김!$B$3:$E$300,4,0)</f>
        <v>성취도 5단계+석차등급O</v>
      </c>
      <c r="P60" s="11"/>
    </row>
    <row r="61" spans="1:16" ht="17.399999999999999">
      <c r="A61" s="268"/>
      <c r="B61" s="312"/>
      <c r="C61" s="200" t="str">
        <f>VLOOKUP(D61,숨김!$B$3:$E$300,2,0)</f>
        <v>진로</v>
      </c>
      <c r="D61" s="190" t="s">
        <v>468</v>
      </c>
      <c r="E61" s="190">
        <f>VLOOKUP(D61,숨김!$B$3:$E$300,3,0)</f>
        <v>4</v>
      </c>
      <c r="F61" s="197">
        <v>3</v>
      </c>
      <c r="G61" s="33"/>
      <c r="H61" s="2"/>
      <c r="I61" s="2"/>
      <c r="J61" s="75"/>
      <c r="K61" s="188"/>
      <c r="L61" s="188"/>
      <c r="M61" s="306"/>
      <c r="N61" s="307"/>
      <c r="O61" s="202" t="str">
        <f>VLOOKUP(D61,숨김!$B$3:$E$300,4,0)</f>
        <v>성취도 5단계+석차등급O</v>
      </c>
      <c r="P61" s="11"/>
    </row>
    <row r="62" spans="1:16" ht="17.399999999999999">
      <c r="A62" s="266" t="s">
        <v>46</v>
      </c>
      <c r="B62" s="192" t="s">
        <v>20</v>
      </c>
      <c r="C62" s="200" t="str">
        <f>VLOOKUP(D62,숨김!$B$3:$E$300,2,0)</f>
        <v>진로</v>
      </c>
      <c r="D62" s="2" t="s">
        <v>469</v>
      </c>
      <c r="E62" s="190">
        <f>VLOOKUP(D62,숨김!$B$3:$E$300,3,0)</f>
        <v>4</v>
      </c>
      <c r="F62" s="197">
        <v>3</v>
      </c>
      <c r="G62" s="33"/>
      <c r="H62" s="2"/>
      <c r="I62" s="2"/>
      <c r="J62" s="2"/>
      <c r="K62" s="188">
        <v>3</v>
      </c>
      <c r="L62" s="2"/>
      <c r="M62" s="271">
        <f>SUM(G62:L76)</f>
        <v>9</v>
      </c>
      <c r="N62" s="272"/>
      <c r="O62" s="202" t="str">
        <f>VLOOKUP(D62,숨김!$B$3:$E$300,4,0)</f>
        <v>성취도 5단계+석차등급O</v>
      </c>
      <c r="P62" s="11"/>
    </row>
    <row r="63" spans="1:16" ht="17.399999999999999">
      <c r="A63" s="304"/>
      <c r="B63" s="269" t="s">
        <v>445</v>
      </c>
      <c r="C63" s="200" t="str">
        <f>VLOOKUP(D63,숨김!$B$3:$E$300,2,0)</f>
        <v>진로</v>
      </c>
      <c r="D63" s="2" t="s">
        <v>472</v>
      </c>
      <c r="E63" s="190">
        <f>VLOOKUP(D63,숨김!$B$3:$E$300,3,0)</f>
        <v>4</v>
      </c>
      <c r="F63" s="197">
        <v>3</v>
      </c>
      <c r="G63" s="33"/>
      <c r="H63" s="2"/>
      <c r="I63" s="2"/>
      <c r="J63" s="2"/>
      <c r="K63" s="189">
        <v>3</v>
      </c>
      <c r="L63" s="2"/>
      <c r="M63" s="313"/>
      <c r="N63" s="274"/>
      <c r="O63" s="202" t="str">
        <f>VLOOKUP(D63,숨김!$B$3:$E$300,4,0)</f>
        <v>성취도 5단계+석차등급O</v>
      </c>
      <c r="P63" s="11"/>
    </row>
    <row r="64" spans="1:16" ht="17.399999999999999">
      <c r="A64" s="304"/>
      <c r="B64" s="254"/>
      <c r="C64" s="200" t="s">
        <v>37</v>
      </c>
      <c r="D64" s="206" t="s">
        <v>499</v>
      </c>
      <c r="E64" s="204">
        <f>VLOOKUP(D64,숨김!$B$3:$E$300,3,0)</f>
        <v>4</v>
      </c>
      <c r="F64" s="197">
        <v>3</v>
      </c>
      <c r="G64" s="33"/>
      <c r="H64" s="2"/>
      <c r="I64" s="2"/>
      <c r="J64" s="2"/>
      <c r="K64" s="189">
        <v>3</v>
      </c>
      <c r="L64" s="2"/>
      <c r="M64" s="313"/>
      <c r="N64" s="274"/>
      <c r="O64" s="202" t="s">
        <v>17</v>
      </c>
      <c r="P64" s="11"/>
    </row>
    <row r="65" spans="1:16" ht="17.399999999999999">
      <c r="A65" s="304"/>
      <c r="B65" s="254"/>
      <c r="C65" s="200" t="str">
        <f>VLOOKUP(D65,숨김!$B$3:$E$300,2,0)</f>
        <v>진로</v>
      </c>
      <c r="D65" s="2" t="s">
        <v>630</v>
      </c>
      <c r="E65" s="190">
        <f>VLOOKUP(D65,숨김!$B$3:$E$300,3,0)</f>
        <v>4</v>
      </c>
      <c r="F65" s="197">
        <v>3</v>
      </c>
      <c r="G65" s="33"/>
      <c r="H65" s="2"/>
      <c r="I65" s="2"/>
      <c r="J65" s="2"/>
      <c r="K65" s="189"/>
      <c r="L65" s="2"/>
      <c r="M65" s="313"/>
      <c r="N65" s="274"/>
      <c r="O65" s="202" t="str">
        <f>VLOOKUP(D65,숨김!$B$3:$E$300,4,0)</f>
        <v>성취도 5단계+석차등급O</v>
      </c>
      <c r="P65" s="11"/>
    </row>
    <row r="66" spans="1:16" ht="17.399999999999999">
      <c r="A66" s="304"/>
      <c r="B66" s="310"/>
      <c r="C66" s="200" t="str">
        <f>VLOOKUP(D66,숨김!$B$3:$E$300,2,0)</f>
        <v>진로</v>
      </c>
      <c r="D66" s="206" t="s">
        <v>631</v>
      </c>
      <c r="E66" s="190">
        <f>VLOOKUP(D66,숨김!$B$3:$E$300,3,0)</f>
        <v>4</v>
      </c>
      <c r="F66" s="197">
        <v>3</v>
      </c>
      <c r="G66" s="33"/>
      <c r="H66" s="2"/>
      <c r="I66" s="2"/>
      <c r="J66" s="2"/>
      <c r="K66" s="189"/>
      <c r="L66" s="2"/>
      <c r="M66" s="313"/>
      <c r="N66" s="274"/>
      <c r="O66" s="202" t="str">
        <f>VLOOKUP(D66,숨김!$B$3:$E$300,4,0)</f>
        <v>성취도 5단계+석차등급O</v>
      </c>
      <c r="P66" s="11"/>
    </row>
    <row r="67" spans="1:16" ht="17.399999999999999">
      <c r="A67" s="304"/>
      <c r="B67" s="270"/>
      <c r="C67" s="200" t="str">
        <f>VLOOKUP(D67,숨김!$B$3:$E$300,2,0)</f>
        <v>융합</v>
      </c>
      <c r="D67" s="206" t="s">
        <v>632</v>
      </c>
      <c r="E67" s="190">
        <f>VLOOKUP(D67,숨김!$B$3:$E$300,3,0)</f>
        <v>4</v>
      </c>
      <c r="F67" s="197">
        <v>3</v>
      </c>
      <c r="G67" s="33"/>
      <c r="H67" s="2"/>
      <c r="I67" s="2"/>
      <c r="J67" s="2"/>
      <c r="K67" s="189"/>
      <c r="L67" s="2"/>
      <c r="M67" s="313"/>
      <c r="N67" s="274"/>
      <c r="O67" s="202" t="str">
        <f>VLOOKUP(D67,숨김!$B$3:$E$300,4,0)</f>
        <v>성취도 5단계+석차등급X</v>
      </c>
      <c r="P67" s="11"/>
    </row>
    <row r="68" spans="1:16" ht="17.399999999999999">
      <c r="A68" s="304"/>
      <c r="B68" s="269" t="s">
        <v>449</v>
      </c>
      <c r="C68" s="200" t="str">
        <f>VLOOKUP(D68,숨김!$B$3:$E$300,2,0)</f>
        <v>진로</v>
      </c>
      <c r="D68" s="2" t="s">
        <v>475</v>
      </c>
      <c r="E68" s="190">
        <f>VLOOKUP(D68,숨김!$B$3:$E$300,3,0)</f>
        <v>4</v>
      </c>
      <c r="F68" s="197">
        <v>3</v>
      </c>
      <c r="G68" s="33"/>
      <c r="H68" s="2"/>
      <c r="I68" s="2"/>
      <c r="J68" s="2"/>
      <c r="K68" s="189"/>
      <c r="L68" s="2"/>
      <c r="M68" s="313"/>
      <c r="N68" s="274"/>
      <c r="O68" s="202" t="str">
        <f>VLOOKUP(D68,숨김!$B$3:$E$300,4,0)</f>
        <v>성취도 5단계+석차등급O</v>
      </c>
      <c r="P68" s="11"/>
    </row>
    <row r="69" spans="1:16" ht="17.399999999999999">
      <c r="A69" s="304"/>
      <c r="B69" s="254"/>
      <c r="C69" s="200" t="str">
        <f>VLOOKUP(D69,숨김!$B$3:$E$300,2,0)</f>
        <v>진로</v>
      </c>
      <c r="D69" s="2" t="s">
        <v>476</v>
      </c>
      <c r="E69" s="190">
        <f>VLOOKUP(D69,숨김!$B$3:$E$300,3,0)</f>
        <v>4</v>
      </c>
      <c r="F69" s="197">
        <v>3</v>
      </c>
      <c r="G69" s="33"/>
      <c r="H69" s="2"/>
      <c r="I69" s="2"/>
      <c r="J69" s="2"/>
      <c r="K69" s="189"/>
      <c r="L69" s="2"/>
      <c r="M69" s="313"/>
      <c r="N69" s="274"/>
      <c r="O69" s="202" t="str">
        <f>VLOOKUP(D69,숨김!$B$3:$E$300,4,0)</f>
        <v>성취도 5단계+석차등급O</v>
      </c>
      <c r="P69" s="11"/>
    </row>
    <row r="70" spans="1:16" ht="17.399999999999999">
      <c r="A70" s="304"/>
      <c r="B70" s="254"/>
      <c r="C70" s="200" t="str">
        <f>VLOOKUP(D70,숨김!$B$3:$E$300,2,0)</f>
        <v>진로</v>
      </c>
      <c r="D70" s="2" t="s">
        <v>477</v>
      </c>
      <c r="E70" s="190">
        <f>VLOOKUP(D70,숨김!$B$3:$E$300,3,0)</f>
        <v>4</v>
      </c>
      <c r="F70" s="197">
        <v>3</v>
      </c>
      <c r="G70" s="33"/>
      <c r="H70" s="2"/>
      <c r="I70" s="2"/>
      <c r="J70" s="2"/>
      <c r="K70" s="189"/>
      <c r="L70" s="2"/>
      <c r="M70" s="313"/>
      <c r="N70" s="274"/>
      <c r="O70" s="202" t="str">
        <f>VLOOKUP(D70,숨김!$B$3:$E$300,4,0)</f>
        <v>성취도 5단계+석차등급O</v>
      </c>
      <c r="P70" s="11"/>
    </row>
    <row r="71" spans="1:16" ht="17.399999999999999">
      <c r="A71" s="304"/>
      <c r="B71" s="254"/>
      <c r="C71" s="200" t="s">
        <v>37</v>
      </c>
      <c r="D71" s="2" t="s">
        <v>478</v>
      </c>
      <c r="E71" s="190">
        <v>4</v>
      </c>
      <c r="F71" s="197">
        <v>3</v>
      </c>
      <c r="G71" s="33"/>
      <c r="H71" s="2"/>
      <c r="I71" s="2"/>
      <c r="J71" s="2"/>
      <c r="K71" s="189"/>
      <c r="L71" s="2"/>
      <c r="M71" s="313"/>
      <c r="N71" s="274"/>
      <c r="O71" s="202" t="s">
        <v>17</v>
      </c>
      <c r="P71" s="11"/>
    </row>
    <row r="72" spans="1:16" ht="17.399999999999999">
      <c r="A72" s="304"/>
      <c r="B72" s="270"/>
      <c r="C72" s="200" t="s">
        <v>38</v>
      </c>
      <c r="D72" s="2" t="s">
        <v>504</v>
      </c>
      <c r="E72" s="190">
        <f>VLOOKUP(D72,숨김!$B$3:$E$300,3,0)</f>
        <v>4</v>
      </c>
      <c r="F72" s="197">
        <v>3</v>
      </c>
      <c r="G72" s="33"/>
      <c r="H72" s="2"/>
      <c r="I72" s="2"/>
      <c r="J72" s="2"/>
      <c r="K72" s="189"/>
      <c r="L72" s="2"/>
      <c r="M72" s="313"/>
      <c r="N72" s="274"/>
      <c r="O72" s="202" t="str">
        <f>VLOOKUP(D72,숨김!$B$3:$E$300,4,0)</f>
        <v>성취도 5단계+석차등급X</v>
      </c>
      <c r="P72" s="11"/>
    </row>
    <row r="73" spans="1:16" ht="17.399999999999999">
      <c r="A73" s="304"/>
      <c r="B73" s="2" t="s">
        <v>39</v>
      </c>
      <c r="C73" s="200" t="str">
        <f>VLOOKUP(D73,숨김!$B$3:$E$300,2,0)</f>
        <v>융합</v>
      </c>
      <c r="D73" s="190" t="s">
        <v>479</v>
      </c>
      <c r="E73" s="190">
        <f>VLOOKUP(D73,숨김!$B$3:$E$300,3,0)</f>
        <v>4</v>
      </c>
      <c r="F73" s="197">
        <v>3</v>
      </c>
      <c r="G73" s="33"/>
      <c r="H73" s="2"/>
      <c r="I73" s="2"/>
      <c r="J73" s="2"/>
      <c r="K73" s="189"/>
      <c r="L73" s="2"/>
      <c r="M73" s="313"/>
      <c r="N73" s="274"/>
      <c r="O73" s="202" t="str">
        <f>VLOOKUP(D73,숨김!$B$3:$E$300,4,0)</f>
        <v>성취도 5단계+석차등급O</v>
      </c>
      <c r="P73" s="11"/>
    </row>
    <row r="74" spans="1:16" ht="17.399999999999999">
      <c r="A74" s="304"/>
      <c r="B74" s="2" t="s">
        <v>40</v>
      </c>
      <c r="C74" s="200" t="str">
        <f>VLOOKUP(D74,숨김!$B$3:$E$300,2,0)</f>
        <v>진로</v>
      </c>
      <c r="D74" s="190" t="s">
        <v>480</v>
      </c>
      <c r="E74" s="190">
        <f>VLOOKUP(D74,숨김!$B$3:$E$300,3,0)</f>
        <v>4</v>
      </c>
      <c r="F74" s="197">
        <v>3</v>
      </c>
      <c r="G74" s="33"/>
      <c r="H74" s="2"/>
      <c r="I74" s="2"/>
      <c r="J74" s="2"/>
      <c r="K74" s="189"/>
      <c r="L74" s="2"/>
      <c r="M74" s="313"/>
      <c r="N74" s="274"/>
      <c r="O74" s="202" t="str">
        <f>VLOOKUP(D74,숨김!$B$3:$E$300,4,0)</f>
        <v>성취도 5단계+석차등급O</v>
      </c>
      <c r="P74" s="11"/>
    </row>
    <row r="75" spans="1:16" ht="17.399999999999999">
      <c r="A75" s="304"/>
      <c r="B75" s="253" t="s">
        <v>464</v>
      </c>
      <c r="C75" s="200" t="str">
        <f>VLOOKUP(D75,숨김!$B$3:$E$300,2,0)</f>
        <v>융합</v>
      </c>
      <c r="D75" s="190" t="s">
        <v>481</v>
      </c>
      <c r="E75" s="190">
        <f>VLOOKUP(D75,숨김!$B$3:$E$300,3,0)</f>
        <v>4</v>
      </c>
      <c r="F75" s="197">
        <v>3</v>
      </c>
      <c r="G75" s="33"/>
      <c r="H75" s="2"/>
      <c r="I75" s="2"/>
      <c r="J75" s="2"/>
      <c r="K75" s="189"/>
      <c r="L75" s="2"/>
      <c r="M75" s="313"/>
      <c r="N75" s="274"/>
      <c r="O75" s="202" t="str">
        <f>VLOOKUP(D75,숨김!$B$3:$E$300,4,0)</f>
        <v>성취도 5단계+석차등급O</v>
      </c>
      <c r="P75" s="11"/>
    </row>
    <row r="76" spans="1:16" ht="17.399999999999999">
      <c r="A76" s="268"/>
      <c r="B76" s="255"/>
      <c r="C76" s="200" t="str">
        <f>VLOOKUP(D76,숨김!$B$3:$E$300,2,0)</f>
        <v>융합</v>
      </c>
      <c r="D76" s="2" t="s">
        <v>482</v>
      </c>
      <c r="E76" s="190">
        <f>VLOOKUP(D76,숨김!$B$3:$E$300,3,0)</f>
        <v>4</v>
      </c>
      <c r="F76" s="197">
        <v>3</v>
      </c>
      <c r="G76" s="33"/>
      <c r="H76" s="2"/>
      <c r="I76" s="2"/>
      <c r="J76" s="2"/>
      <c r="K76" s="190"/>
      <c r="L76" s="2"/>
      <c r="M76" s="292"/>
      <c r="N76" s="293"/>
      <c r="O76" s="202" t="str">
        <f>VLOOKUP(D76,숨김!$B$3:$E$300,4,0)</f>
        <v>성취도 5단계+석차등급O</v>
      </c>
      <c r="P76" s="11"/>
    </row>
    <row r="77" spans="1:16" ht="17.399999999999999">
      <c r="A77" s="266" t="s">
        <v>48</v>
      </c>
      <c r="B77" s="269" t="s">
        <v>483</v>
      </c>
      <c r="C77" s="200" t="str">
        <f>VLOOKUP(D77,숨김!$B$3:$E$300,2,0)</f>
        <v>진로</v>
      </c>
      <c r="D77" s="2" t="s">
        <v>485</v>
      </c>
      <c r="E77" s="190">
        <f>VLOOKUP(D77,숨김!$B$3:$E$300,3,0)</f>
        <v>3</v>
      </c>
      <c r="F77" s="197">
        <v>3</v>
      </c>
      <c r="G77" s="33"/>
      <c r="H77" s="2"/>
      <c r="I77" s="2"/>
      <c r="J77" s="2"/>
      <c r="K77" s="188">
        <v>3</v>
      </c>
      <c r="L77" s="2"/>
      <c r="M77" s="271">
        <f>SUM(G77:L78)</f>
        <v>3</v>
      </c>
      <c r="N77" s="272"/>
      <c r="O77" s="202" t="str">
        <f>VLOOKUP(D77,숨김!$B$3:$E$300,4,0)</f>
        <v>성취도 3단계</v>
      </c>
      <c r="P77" s="11"/>
    </row>
    <row r="78" spans="1:16" ht="17.399999999999999">
      <c r="A78" s="268"/>
      <c r="B78" s="270"/>
      <c r="C78" s="200" t="str">
        <f>VLOOKUP(D78,숨김!$B$3:$E$300,2,0)</f>
        <v>융합</v>
      </c>
      <c r="D78" s="2" t="s">
        <v>486</v>
      </c>
      <c r="E78" s="190">
        <f>VLOOKUP(D78,숨김!$B$3:$E$300,3,0)</f>
        <v>3</v>
      </c>
      <c r="F78" s="197">
        <v>3</v>
      </c>
      <c r="G78" s="33"/>
      <c r="H78" s="2"/>
      <c r="I78" s="2"/>
      <c r="J78" s="2"/>
      <c r="K78" s="190"/>
      <c r="L78" s="2"/>
      <c r="M78" s="292"/>
      <c r="N78" s="293"/>
      <c r="O78" s="202" t="str">
        <f>VLOOKUP(D78,숨김!$B$3:$E$300,4,0)</f>
        <v>성취도 3단계</v>
      </c>
      <c r="P78" s="11"/>
    </row>
    <row r="79" spans="1:16" ht="17.399999999999999">
      <c r="A79" s="266" t="s">
        <v>49</v>
      </c>
      <c r="B79" s="269" t="s">
        <v>484</v>
      </c>
      <c r="C79" s="200" t="str">
        <f>VLOOKUP(D79,숨김!$B$3:$E$300,2,0)</f>
        <v>진로</v>
      </c>
      <c r="D79" s="188" t="s">
        <v>487</v>
      </c>
      <c r="E79" s="190">
        <f>VLOOKUP(D79,숨김!$B$3:$E$300,3,0)</f>
        <v>3</v>
      </c>
      <c r="F79" s="197">
        <v>2</v>
      </c>
      <c r="G79" s="33"/>
      <c r="H79" s="2"/>
      <c r="I79" s="2"/>
      <c r="J79" s="2"/>
      <c r="K79" s="188">
        <v>2</v>
      </c>
      <c r="L79" s="6"/>
      <c r="M79" s="271">
        <f>SUM(G79:L81)</f>
        <v>2</v>
      </c>
      <c r="N79" s="272"/>
      <c r="O79" s="202" t="str">
        <f>VLOOKUP(D79,숨김!$B$3:$E$300,4,0)</f>
        <v>이수/미이수</v>
      </c>
      <c r="P79" s="11"/>
    </row>
    <row r="80" spans="1:16" ht="17.399999999999999">
      <c r="A80" s="267"/>
      <c r="B80" s="254"/>
      <c r="C80" s="200" t="str">
        <f>VLOOKUP(D80,숨김!$B$3:$E$300,2,0)</f>
        <v>일반</v>
      </c>
      <c r="D80" s="188" t="s">
        <v>488</v>
      </c>
      <c r="E80" s="190">
        <f>VLOOKUP(D80,숨김!$B$3:$E$300,3,0)</f>
        <v>3</v>
      </c>
      <c r="F80" s="197">
        <v>2</v>
      </c>
      <c r="G80" s="33"/>
      <c r="H80" s="2"/>
      <c r="I80" s="188"/>
      <c r="J80" s="188"/>
      <c r="K80" s="189"/>
      <c r="L80" s="160"/>
      <c r="M80" s="273"/>
      <c r="N80" s="274"/>
      <c r="O80" s="202" t="str">
        <f>VLOOKUP(D80,숨김!$B$3:$E$300,4,0)</f>
        <v>이수/미이수</v>
      </c>
      <c r="P80" s="11"/>
    </row>
    <row r="81" spans="1:16" ht="17.399999999999999">
      <c r="A81" s="268"/>
      <c r="B81" s="270"/>
      <c r="C81" s="200" t="str">
        <f>VLOOKUP(D81,숨김!$B$3:$E$300,2,0)</f>
        <v>진로</v>
      </c>
      <c r="D81" s="188" t="s">
        <v>489</v>
      </c>
      <c r="E81" s="190">
        <f>VLOOKUP(D81,숨김!$B$3:$E$300,3,0)</f>
        <v>3</v>
      </c>
      <c r="F81" s="197">
        <v>2</v>
      </c>
      <c r="G81" s="33"/>
      <c r="H81" s="2"/>
      <c r="I81" s="188"/>
      <c r="J81" s="188"/>
      <c r="K81" s="190"/>
      <c r="L81" s="160"/>
      <c r="M81" s="292"/>
      <c r="N81" s="293"/>
      <c r="O81" s="202" t="str">
        <f>VLOOKUP(D81,숨김!$B$3:$E$300,4,0)</f>
        <v>이수/미이수</v>
      </c>
      <c r="P81" s="11"/>
    </row>
    <row r="82" spans="1:16" ht="17.399999999999999">
      <c r="A82" s="294" t="s">
        <v>51</v>
      </c>
      <c r="B82" s="269" t="s">
        <v>14</v>
      </c>
      <c r="C82" s="200" t="str">
        <f>VLOOKUP(D82,숨김!$B$3:$E$300,2,0)</f>
        <v>진로</v>
      </c>
      <c r="D82" s="2" t="s">
        <v>490</v>
      </c>
      <c r="E82" s="190">
        <f>VLOOKUP(D82,숨김!$B$3:$E$300,3,0)</f>
        <v>4</v>
      </c>
      <c r="F82" s="197">
        <v>4</v>
      </c>
      <c r="G82" s="33"/>
      <c r="H82" s="2"/>
      <c r="I82" s="188"/>
      <c r="J82" s="188"/>
      <c r="K82" s="2"/>
      <c r="L82" s="188">
        <v>4</v>
      </c>
      <c r="M82" s="271">
        <f>SUM(G82:L87)</f>
        <v>12</v>
      </c>
      <c r="N82" s="297"/>
      <c r="O82" s="202" t="str">
        <f>VLOOKUP(D82,숨김!$B$3:$E$300,4,0)</f>
        <v>성취도 5단계+석차등급O</v>
      </c>
      <c r="P82" s="11"/>
    </row>
    <row r="83" spans="1:16" ht="17.399999999999999">
      <c r="A83" s="295"/>
      <c r="B83" s="270"/>
      <c r="C83" s="200" t="str">
        <f>VLOOKUP(D83,숨김!$B$3:$E$300,2,0)</f>
        <v>진로</v>
      </c>
      <c r="D83" s="2" t="s">
        <v>491</v>
      </c>
      <c r="E83" s="190">
        <f>VLOOKUP(D83,숨김!$B$3:$E$300,3,0)</f>
        <v>4</v>
      </c>
      <c r="F83" s="197">
        <v>4</v>
      </c>
      <c r="G83" s="33"/>
      <c r="H83" s="2"/>
      <c r="I83" s="188"/>
      <c r="J83" s="188"/>
      <c r="K83" s="2"/>
      <c r="L83" s="189">
        <v>4</v>
      </c>
      <c r="M83" s="273"/>
      <c r="N83" s="298"/>
      <c r="O83" s="202" t="str">
        <f>VLOOKUP(D83,숨김!$B$3:$E$300,4,0)</f>
        <v>성취도 5단계+석차등급O</v>
      </c>
      <c r="P83" s="11"/>
    </row>
    <row r="84" spans="1:16" ht="17.399999999999999">
      <c r="A84" s="295"/>
      <c r="B84" s="269" t="s">
        <v>20</v>
      </c>
      <c r="C84" s="200" t="str">
        <f>VLOOKUP(D84,숨김!$B$3:$E$300,2,0)</f>
        <v>융합</v>
      </c>
      <c r="D84" s="2" t="s">
        <v>492</v>
      </c>
      <c r="E84" s="190">
        <f>VLOOKUP(D84,숨김!$B$3:$E$300,3,0)</f>
        <v>4</v>
      </c>
      <c r="F84" s="197">
        <v>4</v>
      </c>
      <c r="G84" s="33"/>
      <c r="H84" s="2"/>
      <c r="I84" s="188"/>
      <c r="J84" s="188"/>
      <c r="K84" s="2"/>
      <c r="L84" s="189">
        <v>4</v>
      </c>
      <c r="M84" s="273"/>
      <c r="N84" s="298"/>
      <c r="O84" s="202" t="str">
        <f>VLOOKUP(D84,숨김!$B$3:$E$300,4,0)</f>
        <v>성취도 5단계+석차등급O</v>
      </c>
      <c r="P84" s="11"/>
    </row>
    <row r="85" spans="1:16" ht="17.399999999999999">
      <c r="A85" s="295"/>
      <c r="B85" s="270"/>
      <c r="C85" s="200" t="str">
        <f>VLOOKUP(D85,숨김!$B$3:$E$300,2,0)</f>
        <v>융합</v>
      </c>
      <c r="D85" s="2" t="s">
        <v>493</v>
      </c>
      <c r="E85" s="190">
        <f>VLOOKUP(D85,숨김!$B$3:$E$300,3,0)</f>
        <v>4</v>
      </c>
      <c r="F85" s="197">
        <v>4</v>
      </c>
      <c r="G85" s="33"/>
      <c r="H85" s="2"/>
      <c r="I85" s="188"/>
      <c r="J85" s="188"/>
      <c r="K85" s="2"/>
      <c r="L85" s="189"/>
      <c r="M85" s="273"/>
      <c r="N85" s="298"/>
      <c r="O85" s="202" t="str">
        <f>VLOOKUP(D85,숨김!$B$3:$E$300,4,0)</f>
        <v>성취도 5단계+석차등급O</v>
      </c>
      <c r="P85" s="11"/>
    </row>
    <row r="86" spans="1:16" ht="17.399999999999999">
      <c r="A86" s="295"/>
      <c r="B86" s="269" t="s">
        <v>23</v>
      </c>
      <c r="C86" s="200" t="str">
        <f>VLOOKUP(D86,숨김!$B$3:$E$300,2,0)</f>
        <v>진로</v>
      </c>
      <c r="D86" s="2" t="s">
        <v>494</v>
      </c>
      <c r="E86" s="190">
        <f>VLOOKUP(D86,숨김!$B$3:$E$300,3,0)</f>
        <v>4</v>
      </c>
      <c r="F86" s="197">
        <v>4</v>
      </c>
      <c r="G86" s="33"/>
      <c r="H86" s="2"/>
      <c r="I86" s="188"/>
      <c r="J86" s="188"/>
      <c r="K86" s="2"/>
      <c r="L86" s="189"/>
      <c r="M86" s="273"/>
      <c r="N86" s="298"/>
      <c r="O86" s="202" t="str">
        <f>VLOOKUP(D86,숨김!$B$3:$E$300,4,0)</f>
        <v>성취도 5단계+석차등급O</v>
      </c>
      <c r="P86" s="11"/>
    </row>
    <row r="87" spans="1:16" ht="17.399999999999999">
      <c r="A87" s="296"/>
      <c r="B87" s="270"/>
      <c r="C87" s="200" t="str">
        <f>VLOOKUP(D87,숨김!$B$3:$E$300,2,0)</f>
        <v>융합</v>
      </c>
      <c r="D87" s="2" t="s">
        <v>495</v>
      </c>
      <c r="E87" s="190">
        <f>VLOOKUP(D87,숨김!$B$3:$E$300,3,0)</f>
        <v>4</v>
      </c>
      <c r="F87" s="197">
        <v>4</v>
      </c>
      <c r="G87" s="33"/>
      <c r="H87" s="2"/>
      <c r="I87" s="188"/>
      <c r="J87" s="188"/>
      <c r="K87" s="2"/>
      <c r="L87" s="190"/>
      <c r="M87" s="299"/>
      <c r="N87" s="300"/>
      <c r="O87" s="202" t="str">
        <f>VLOOKUP(D87,숨김!$B$3:$E$300,4,0)</f>
        <v>성취도 5단계+석차등급O</v>
      </c>
      <c r="P87" s="11"/>
    </row>
    <row r="88" spans="1:16" ht="17.399999999999999">
      <c r="A88" s="266" t="s">
        <v>496</v>
      </c>
      <c r="B88" s="301" t="s">
        <v>445</v>
      </c>
      <c r="C88" s="200" t="s">
        <v>38</v>
      </c>
      <c r="D88" s="206" t="s">
        <v>470</v>
      </c>
      <c r="E88" s="190">
        <f>VLOOKUP(D88,숨김!$B$3:$E$300,3,0)</f>
        <v>4</v>
      </c>
      <c r="F88" s="197">
        <v>3</v>
      </c>
      <c r="G88" s="33"/>
      <c r="H88" s="2"/>
      <c r="I88" s="188"/>
      <c r="J88" s="188"/>
      <c r="K88" s="2"/>
      <c r="L88" s="188">
        <v>3</v>
      </c>
      <c r="M88" s="271">
        <f>SUM(G88:L95)</f>
        <v>6</v>
      </c>
      <c r="N88" s="297"/>
      <c r="O88" s="202" t="str">
        <f>VLOOKUP(D88,숨김!$B$3:$E$300,4,0)</f>
        <v>성취도 5단계+석차등급X</v>
      </c>
      <c r="P88" s="11"/>
    </row>
    <row r="89" spans="1:16" ht="17.399999999999999">
      <c r="A89" s="267"/>
      <c r="B89" s="302"/>
      <c r="C89" s="200" t="str">
        <f>VLOOKUP(D89,숨김!$B$3:$E$300,2,0)</f>
        <v>융합</v>
      </c>
      <c r="D89" s="2" t="s">
        <v>500</v>
      </c>
      <c r="E89" s="190">
        <f>VLOOKUP(D89,숨김!$B$3:$E$300,3,0)</f>
        <v>4</v>
      </c>
      <c r="F89" s="197">
        <v>3</v>
      </c>
      <c r="G89" s="33"/>
      <c r="H89" s="2"/>
      <c r="I89" s="188"/>
      <c r="J89" s="188"/>
      <c r="K89" s="2"/>
      <c r="L89" s="189">
        <v>3</v>
      </c>
      <c r="M89" s="273"/>
      <c r="N89" s="298"/>
      <c r="O89" s="202" t="str">
        <f>VLOOKUP(D89,숨김!$B$3:$E$300,4,0)</f>
        <v>성취도 5단계+석차등급X</v>
      </c>
      <c r="P89" s="11"/>
    </row>
    <row r="90" spans="1:16" ht="17.399999999999999">
      <c r="A90" s="267"/>
      <c r="B90" s="253" t="s">
        <v>449</v>
      </c>
      <c r="C90" s="200" t="str">
        <f>VLOOKUP(D90,숨김!$B$3:$E$300,2,0)</f>
        <v>융합</v>
      </c>
      <c r="D90" s="2" t="s">
        <v>502</v>
      </c>
      <c r="E90" s="190">
        <f>VLOOKUP(D90,숨김!$B$3:$E$300,3,0)</f>
        <v>4</v>
      </c>
      <c r="F90" s="197">
        <v>3</v>
      </c>
      <c r="G90" s="33"/>
      <c r="H90" s="2"/>
      <c r="I90" s="188"/>
      <c r="J90" s="188"/>
      <c r="K90" s="2"/>
      <c r="L90" s="189"/>
      <c r="M90" s="273"/>
      <c r="N90" s="298"/>
      <c r="O90" s="202" t="str">
        <f>VLOOKUP(D90,숨김!$B$3:$E$300,4,0)</f>
        <v>성취도 5단계+석차등급X</v>
      </c>
      <c r="P90" s="11"/>
    </row>
    <row r="91" spans="1:16" ht="17.399999999999999">
      <c r="A91" s="267"/>
      <c r="B91" s="254"/>
      <c r="C91" s="200" t="str">
        <f>VLOOKUP(D91,숨김!$B$3:$E$300,2,0)</f>
        <v>융합</v>
      </c>
      <c r="D91" s="2" t="s">
        <v>503</v>
      </c>
      <c r="E91" s="190">
        <f>VLOOKUP(D91,숨김!$B$3:$E$300,3,0)</f>
        <v>4</v>
      </c>
      <c r="F91" s="197">
        <v>3</v>
      </c>
      <c r="G91" s="33"/>
      <c r="H91" s="2"/>
      <c r="I91" s="188"/>
      <c r="J91" s="188"/>
      <c r="K91" s="2"/>
      <c r="L91" s="189"/>
      <c r="M91" s="273"/>
      <c r="N91" s="298"/>
      <c r="O91" s="202" t="str">
        <f>VLOOKUP(D91,숨김!$B$3:$E$300,4,0)</f>
        <v>성취도 5단계+석차등급X</v>
      </c>
      <c r="P91" s="11"/>
    </row>
    <row r="92" spans="1:16" ht="17.399999999999999">
      <c r="A92" s="267"/>
      <c r="B92" s="188" t="s">
        <v>39</v>
      </c>
      <c r="C92" s="200" t="str">
        <f>VLOOKUP(D92,숨김!$B$3:$E$300,2,0)</f>
        <v>융합</v>
      </c>
      <c r="D92" s="2" t="s">
        <v>505</v>
      </c>
      <c r="E92" s="190">
        <f>VLOOKUP(D92,숨김!$B$3:$E$300,3,0)</f>
        <v>4</v>
      </c>
      <c r="F92" s="197">
        <v>3</v>
      </c>
      <c r="G92" s="33"/>
      <c r="H92" s="2"/>
      <c r="I92" s="2"/>
      <c r="J92" s="2"/>
      <c r="K92" s="6"/>
      <c r="L92" s="159"/>
      <c r="M92" s="273"/>
      <c r="N92" s="298"/>
      <c r="O92" s="202" t="str">
        <f>VLOOKUP(D92,숨김!$B$3:$E$300,4,0)</f>
        <v>성취도 5단계+석차등급O</v>
      </c>
      <c r="P92" s="11"/>
    </row>
    <row r="93" spans="1:16" ht="17.399999999999999">
      <c r="A93" s="267"/>
      <c r="B93" s="188" t="s">
        <v>40</v>
      </c>
      <c r="C93" s="200" t="str">
        <f>VLOOKUP(D93,숨김!$B$3:$E$300,2,0)</f>
        <v>융합</v>
      </c>
      <c r="D93" s="2" t="s">
        <v>506</v>
      </c>
      <c r="E93" s="190">
        <f>VLOOKUP(D93,숨김!$B$3:$E$300,3,0)</f>
        <v>4</v>
      </c>
      <c r="F93" s="197">
        <v>3</v>
      </c>
      <c r="G93" s="33"/>
      <c r="H93" s="2"/>
      <c r="I93" s="190"/>
      <c r="J93" s="190"/>
      <c r="K93" s="160"/>
      <c r="L93" s="159"/>
      <c r="M93" s="273"/>
      <c r="N93" s="298"/>
      <c r="O93" s="202" t="str">
        <f>VLOOKUP(D93,숨김!$B$3:$E$300,4,0)</f>
        <v>성취도 5단계+석차등급O</v>
      </c>
      <c r="P93" s="11"/>
    </row>
    <row r="94" spans="1:16" ht="17.399999999999999">
      <c r="A94" s="267"/>
      <c r="B94" s="253" t="s">
        <v>464</v>
      </c>
      <c r="C94" s="200" t="str">
        <f>VLOOKUP(D94,숨김!$B$3:$E$300,2,0)</f>
        <v>진로</v>
      </c>
      <c r="D94" s="2" t="s">
        <v>507</v>
      </c>
      <c r="E94" s="190">
        <f>VLOOKUP(D94,숨김!$B$3:$E$300,3,0)</f>
        <v>4</v>
      </c>
      <c r="F94" s="197">
        <v>3</v>
      </c>
      <c r="G94" s="33"/>
      <c r="H94" s="2"/>
      <c r="I94" s="190"/>
      <c r="J94" s="190"/>
      <c r="K94" s="160"/>
      <c r="L94" s="159"/>
      <c r="M94" s="273"/>
      <c r="N94" s="298"/>
      <c r="O94" s="202" t="str">
        <f>VLOOKUP(D94,숨김!$B$3:$E$300,4,0)</f>
        <v>성취도 5단계+석차등급O</v>
      </c>
      <c r="P94" s="11"/>
    </row>
    <row r="95" spans="1:16" ht="17.399999999999999">
      <c r="A95" s="287"/>
      <c r="B95" s="255"/>
      <c r="C95" s="200" t="str">
        <f>VLOOKUP(D95,숨김!$B$3:$E$300,2,0)</f>
        <v>진로</v>
      </c>
      <c r="D95" s="2" t="s">
        <v>508</v>
      </c>
      <c r="E95" s="190">
        <f>VLOOKUP(D95,숨김!$B$3:$E$300,3,0)</f>
        <v>4</v>
      </c>
      <c r="F95" s="197">
        <v>3</v>
      </c>
      <c r="G95" s="33"/>
      <c r="H95" s="2"/>
      <c r="I95" s="190"/>
      <c r="J95" s="190"/>
      <c r="K95" s="160"/>
      <c r="L95" s="160"/>
      <c r="M95" s="299"/>
      <c r="N95" s="300"/>
      <c r="O95" s="202" t="str">
        <f>VLOOKUP(D95,숨김!$B$3:$E$300,4,0)</f>
        <v>성취도 5단계+석차등급O</v>
      </c>
      <c r="P95" s="11"/>
    </row>
    <row r="96" spans="1:16" ht="17.399999999999999">
      <c r="A96" s="266" t="s">
        <v>497</v>
      </c>
      <c r="B96" s="253" t="s">
        <v>483</v>
      </c>
      <c r="C96" s="200" t="str">
        <f>VLOOKUP(D96,숨김!$B$3:$E$300,2,0)</f>
        <v>융합</v>
      </c>
      <c r="D96" s="2" t="s">
        <v>509</v>
      </c>
      <c r="E96" s="190">
        <v>3</v>
      </c>
      <c r="F96" s="197">
        <v>3</v>
      </c>
      <c r="G96" s="33"/>
      <c r="H96" s="2"/>
      <c r="I96" s="190"/>
      <c r="J96" s="190"/>
      <c r="K96" s="160"/>
      <c r="L96" s="188">
        <v>3</v>
      </c>
      <c r="M96" s="288">
        <f>SUM(G96:L97)</f>
        <v>3</v>
      </c>
      <c r="N96" s="289"/>
      <c r="O96" s="202" t="str">
        <f>VLOOKUP(D96,숨김!$B$3:$E$300,4,0)</f>
        <v>성취도 3단계</v>
      </c>
      <c r="P96" s="11"/>
    </row>
    <row r="97" spans="1:16" ht="17.399999999999999">
      <c r="A97" s="287"/>
      <c r="B97" s="255"/>
      <c r="C97" s="200" t="str">
        <f>VLOOKUP(D97,숨김!$B$3:$E$300,2,0)</f>
        <v>진로</v>
      </c>
      <c r="D97" s="2" t="s">
        <v>510</v>
      </c>
      <c r="E97" s="190">
        <v>3</v>
      </c>
      <c r="F97" s="197">
        <v>3</v>
      </c>
      <c r="G97" s="33"/>
      <c r="H97" s="2"/>
      <c r="I97" s="190"/>
      <c r="J97" s="190"/>
      <c r="K97" s="160"/>
      <c r="L97" s="160"/>
      <c r="M97" s="290"/>
      <c r="N97" s="291"/>
      <c r="O97" s="202" t="str">
        <f>VLOOKUP(D97,숨김!$B$3:$E$300,4,0)</f>
        <v>성취도 3단계</v>
      </c>
      <c r="P97" s="11"/>
    </row>
    <row r="98" spans="1:16" ht="17.399999999999999">
      <c r="A98" s="266" t="s">
        <v>498</v>
      </c>
      <c r="B98" s="269" t="s">
        <v>484</v>
      </c>
      <c r="C98" s="200" t="str">
        <f>VLOOKUP(D98,숨김!$B$3:$E$300,2,0)</f>
        <v>진로</v>
      </c>
      <c r="D98" s="2" t="s">
        <v>511</v>
      </c>
      <c r="E98" s="190">
        <f>VLOOKUP(D98,숨김!$B$3:$E$300,3,0)</f>
        <v>3</v>
      </c>
      <c r="F98" s="197">
        <v>2</v>
      </c>
      <c r="G98" s="33"/>
      <c r="H98" s="2"/>
      <c r="I98" s="190"/>
      <c r="J98" s="190"/>
      <c r="K98" s="2"/>
      <c r="L98" s="188">
        <v>2</v>
      </c>
      <c r="M98" s="271">
        <f>SUM(G98:L100)</f>
        <v>2</v>
      </c>
      <c r="N98" s="272"/>
      <c r="O98" s="202" t="str">
        <f>VLOOKUP(D98,숨김!$B$3:$E$300,4,0)</f>
        <v>이수/미이수</v>
      </c>
      <c r="P98" s="11"/>
    </row>
    <row r="99" spans="1:16" ht="17.399999999999999">
      <c r="A99" s="267"/>
      <c r="B99" s="254"/>
      <c r="C99" s="200" t="str">
        <f>VLOOKUP(D99,숨김!$B$3:$E$300,2,0)</f>
        <v>진로</v>
      </c>
      <c r="D99" s="2" t="s">
        <v>512</v>
      </c>
      <c r="E99" s="190">
        <v>3</v>
      </c>
      <c r="F99" s="197">
        <v>2</v>
      </c>
      <c r="G99" s="33"/>
      <c r="H99" s="2"/>
      <c r="I99" s="190"/>
      <c r="J99" s="190"/>
      <c r="K99" s="190"/>
      <c r="L99" s="189"/>
      <c r="M99" s="273"/>
      <c r="N99" s="274"/>
      <c r="O99" s="202" t="str">
        <f>VLOOKUP(D99,숨김!$B$3:$E$300,4,0)</f>
        <v>이수/미이수</v>
      </c>
      <c r="P99" s="11"/>
    </row>
    <row r="100" spans="1:16" ht="18" thickBot="1">
      <c r="A100" s="268"/>
      <c r="B100" s="270"/>
      <c r="C100" s="200" t="str">
        <f>VLOOKUP(D100,숨김!$B$3:$E$300,2,0)</f>
        <v>융합</v>
      </c>
      <c r="D100" s="2" t="s">
        <v>513</v>
      </c>
      <c r="E100" s="190">
        <f>VLOOKUP(D100,숨김!$B$3:$E$300,3,0)</f>
        <v>3</v>
      </c>
      <c r="F100" s="197">
        <v>2</v>
      </c>
      <c r="G100" s="33"/>
      <c r="H100" s="2"/>
      <c r="I100" s="190"/>
      <c r="J100" s="190"/>
      <c r="K100" s="190"/>
      <c r="L100" s="76"/>
      <c r="M100" s="275"/>
      <c r="N100" s="276"/>
      <c r="O100" s="202" t="str">
        <f>VLOOKUP(D100,숨김!$B$3:$E$300,4,0)</f>
        <v>이수/미이수</v>
      </c>
      <c r="P100" s="11"/>
    </row>
    <row r="101" spans="1:16" ht="18" thickBot="1">
      <c r="A101" s="277" t="s">
        <v>52</v>
      </c>
      <c r="B101" s="278"/>
      <c r="C101" s="278"/>
      <c r="D101" s="279"/>
      <c r="E101" s="3"/>
      <c r="F101" s="193"/>
      <c r="G101" s="35">
        <f t="shared" ref="G101:L101" si="3">SUM(G38:G100)</f>
        <v>0</v>
      </c>
      <c r="H101" s="3">
        <f t="shared" si="3"/>
        <v>0</v>
      </c>
      <c r="I101" s="3">
        <f t="shared" si="3"/>
        <v>15</v>
      </c>
      <c r="J101" s="3">
        <f t="shared" si="3"/>
        <v>15</v>
      </c>
      <c r="K101" s="3">
        <f t="shared" si="3"/>
        <v>14</v>
      </c>
      <c r="L101" s="3">
        <f t="shared" si="3"/>
        <v>23</v>
      </c>
      <c r="M101" s="280">
        <f>SUM(G101:L101)</f>
        <v>67</v>
      </c>
      <c r="N101" s="281"/>
      <c r="O101" s="29"/>
      <c r="P101" s="11"/>
    </row>
    <row r="102" spans="1:16" ht="17.399999999999999">
      <c r="A102" s="282" t="s">
        <v>53</v>
      </c>
      <c r="B102" s="283"/>
      <c r="C102" s="283"/>
      <c r="D102" s="284"/>
      <c r="E102" s="36"/>
      <c r="F102" s="194"/>
      <c r="G102" s="38">
        <f t="shared" ref="G102:L102" si="4">SUM(G37,G101)</f>
        <v>29</v>
      </c>
      <c r="H102" s="36">
        <f t="shared" si="4"/>
        <v>29</v>
      </c>
      <c r="I102" s="36">
        <f t="shared" si="4"/>
        <v>30</v>
      </c>
      <c r="J102" s="36">
        <f t="shared" si="4"/>
        <v>30</v>
      </c>
      <c r="K102" s="36">
        <f t="shared" si="4"/>
        <v>28</v>
      </c>
      <c r="L102" s="36">
        <f t="shared" si="4"/>
        <v>25</v>
      </c>
      <c r="M102" s="285">
        <f>SUM(G102:L102)</f>
        <v>171</v>
      </c>
      <c r="N102" s="286"/>
      <c r="O102" s="39"/>
      <c r="P102" s="11"/>
    </row>
    <row r="103" spans="1:16" ht="18" thickBot="1">
      <c r="A103" s="256" t="s">
        <v>54</v>
      </c>
      <c r="B103" s="257"/>
      <c r="C103" s="257"/>
      <c r="D103" s="258"/>
      <c r="E103" s="40"/>
      <c r="F103" s="41"/>
      <c r="G103" s="42">
        <v>3</v>
      </c>
      <c r="H103" s="40">
        <v>3</v>
      </c>
      <c r="I103" s="40">
        <v>3</v>
      </c>
      <c r="J103" s="40">
        <v>3</v>
      </c>
      <c r="K103" s="40">
        <v>3</v>
      </c>
      <c r="L103" s="40">
        <v>3</v>
      </c>
      <c r="M103" s="259">
        <f>SUM(G103:L103)</f>
        <v>18</v>
      </c>
      <c r="N103" s="260"/>
      <c r="O103" s="43"/>
      <c r="P103" s="11"/>
    </row>
    <row r="104" spans="1:16" ht="18" thickBot="1">
      <c r="A104" s="261" t="s">
        <v>55</v>
      </c>
      <c r="B104" s="262"/>
      <c r="C104" s="262"/>
      <c r="D104" s="263"/>
      <c r="E104" s="44"/>
      <c r="F104" s="191"/>
      <c r="G104" s="46">
        <f t="shared" ref="G104:L104" si="5">SUM(G102:G103)</f>
        <v>32</v>
      </c>
      <c r="H104" s="44">
        <f t="shared" si="5"/>
        <v>32</v>
      </c>
      <c r="I104" s="44">
        <f t="shared" si="5"/>
        <v>33</v>
      </c>
      <c r="J104" s="44">
        <f t="shared" si="5"/>
        <v>33</v>
      </c>
      <c r="K104" s="44">
        <f t="shared" si="5"/>
        <v>31</v>
      </c>
      <c r="L104" s="44">
        <f t="shared" si="5"/>
        <v>28</v>
      </c>
      <c r="M104" s="264">
        <f>SUM(G104:L104)</f>
        <v>189</v>
      </c>
      <c r="N104" s="265"/>
      <c r="O104" s="47"/>
      <c r="P104" s="11"/>
    </row>
  </sheetData>
  <mergeCells count="91">
    <mergeCell ref="M34:N34"/>
    <mergeCell ref="A1:P1"/>
    <mergeCell ref="A2:O2"/>
    <mergeCell ref="A3:A4"/>
    <mergeCell ref="B3:B4"/>
    <mergeCell ref="C3:C4"/>
    <mergeCell ref="D3:D4"/>
    <mergeCell ref="E3:E4"/>
    <mergeCell ref="F3:F4"/>
    <mergeCell ref="G3:H3"/>
    <mergeCell ref="I3:J3"/>
    <mergeCell ref="K3:L3"/>
    <mergeCell ref="M3:N3"/>
    <mergeCell ref="O3:O4"/>
    <mergeCell ref="H35:H36"/>
    <mergeCell ref="A5:A36"/>
    <mergeCell ref="B5:B9"/>
    <mergeCell ref="M5:M9"/>
    <mergeCell ref="N5:N19"/>
    <mergeCell ref="B10:B14"/>
    <mergeCell ref="M10:M14"/>
    <mergeCell ref="B15:B19"/>
    <mergeCell ref="M15:M19"/>
    <mergeCell ref="B20:B23"/>
    <mergeCell ref="M20:N21"/>
    <mergeCell ref="M22:N23"/>
    <mergeCell ref="B24:B27"/>
    <mergeCell ref="M24:N27"/>
    <mergeCell ref="B28:B33"/>
    <mergeCell ref="M28:N33"/>
    <mergeCell ref="O35:O36"/>
    <mergeCell ref="A37:D37"/>
    <mergeCell ref="M37:N37"/>
    <mergeCell ref="A38:A46"/>
    <mergeCell ref="B38:B42"/>
    <mergeCell ref="M38:N46"/>
    <mergeCell ref="B43:B46"/>
    <mergeCell ref="I35:I36"/>
    <mergeCell ref="J35:J36"/>
    <mergeCell ref="K35:K36"/>
    <mergeCell ref="L35:L36"/>
    <mergeCell ref="M35:N36"/>
    <mergeCell ref="D35:D36"/>
    <mergeCell ref="E35:E36"/>
    <mergeCell ref="F35:F36"/>
    <mergeCell ref="G35:G36"/>
    <mergeCell ref="A47:A57"/>
    <mergeCell ref="M47:N57"/>
    <mergeCell ref="B48:B53"/>
    <mergeCell ref="B54:B57"/>
    <mergeCell ref="A77:A78"/>
    <mergeCell ref="B77:B78"/>
    <mergeCell ref="M77:N78"/>
    <mergeCell ref="A58:A59"/>
    <mergeCell ref="B58:B59"/>
    <mergeCell ref="M58:N59"/>
    <mergeCell ref="A60:A61"/>
    <mergeCell ref="B60:B61"/>
    <mergeCell ref="M60:N61"/>
    <mergeCell ref="A62:A76"/>
    <mergeCell ref="M62:N76"/>
    <mergeCell ref="B63:B67"/>
    <mergeCell ref="B68:B72"/>
    <mergeCell ref="B75:B76"/>
    <mergeCell ref="A96:A97"/>
    <mergeCell ref="B96:B97"/>
    <mergeCell ref="M96:N97"/>
    <mergeCell ref="A79:A81"/>
    <mergeCell ref="B79:B81"/>
    <mergeCell ref="M79:N81"/>
    <mergeCell ref="A82:A87"/>
    <mergeCell ref="B82:B83"/>
    <mergeCell ref="M82:N87"/>
    <mergeCell ref="B84:B85"/>
    <mergeCell ref="B86:B87"/>
    <mergeCell ref="A88:A95"/>
    <mergeCell ref="B88:B89"/>
    <mergeCell ref="M88:N95"/>
    <mergeCell ref="B90:B91"/>
    <mergeCell ref="B94:B95"/>
    <mergeCell ref="A103:D103"/>
    <mergeCell ref="M103:N103"/>
    <mergeCell ref="A104:D104"/>
    <mergeCell ref="M104:N104"/>
    <mergeCell ref="A98:A100"/>
    <mergeCell ref="B98:B100"/>
    <mergeCell ref="M98:N100"/>
    <mergeCell ref="A101:D101"/>
    <mergeCell ref="M101:N101"/>
    <mergeCell ref="A102:D102"/>
    <mergeCell ref="M102:N102"/>
  </mergeCells>
  <phoneticPr fontId="15" type="noConversion"/>
  <dataValidations count="3">
    <dataValidation type="list" allowBlank="1" showErrorMessage="1" sqref="O5:O35 O38:O100" xr:uid="{161EBB39-F6EC-468E-90A3-2B1165C67B6D}">
      <formula1>"성취도 5단계+석차등급O,성취도 5단계+석차등급X,성취도 3단계,이수/미이수"</formula1>
    </dataValidation>
    <dataValidation type="list" allowBlank="1" showErrorMessage="1" sqref="B5 B10 B15 B20 B24 B28 B88 B38 B58 B54:B55 B62:B65 B68:B71 B77 B43:B44 B79:B80 B82 B84 B86 B90:B94 B34:B36 B60 B47:B50 B73:B75 B98:B99" xr:uid="{3A40159C-9DB4-482E-88EC-E60B5480DBD4}">
      <formula1>"국어,수학,영어,사회,과학,체육,예술,기술·가정,정보,제2외국어,한문,교양"</formula1>
    </dataValidation>
    <dataValidation type="list" allowBlank="1" showErrorMessage="1" sqref="C5:C36 C38:C100" xr:uid="{8DCAC40B-4CFA-43B4-AF02-1D297E432A15}">
      <formula1>"공통,일반,진로,융합,진로(전공),융합(전공)"</formula1>
    </dataValidation>
  </dataValidations>
  <pageMargins left="0.70866141732283472" right="0.70866141732283472" top="0.74803149606299213" bottom="0.74803149606299213" header="0.31496062992125984" footer="0.31496062992125984"/>
  <pageSetup paperSize="9" scale="40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R1007"/>
  <sheetViews>
    <sheetView zoomScale="90" zoomScaleNormal="90" workbookViewId="0">
      <pane ySplit="4" topLeftCell="A86" activePane="bottomLeft" state="frozen"/>
      <selection pane="bottomLeft" sqref="A1:P104"/>
    </sheetView>
  </sheetViews>
  <sheetFormatPr defaultColWidth="14.44140625" defaultRowHeight="15" customHeight="1"/>
  <cols>
    <col min="1" max="1" width="11.6640625" style="11" customWidth="1"/>
    <col min="2" max="2" width="9.5546875" style="11" customWidth="1"/>
    <col min="3" max="3" width="11.88671875" style="11" customWidth="1"/>
    <col min="4" max="4" width="24" style="11" customWidth="1"/>
    <col min="5" max="5" width="7.88671875" style="11" customWidth="1"/>
    <col min="6" max="6" width="7.6640625" style="11" customWidth="1"/>
    <col min="7" max="12" width="7.88671875" style="11" customWidth="1"/>
    <col min="13" max="13" width="9" style="11" customWidth="1"/>
    <col min="14" max="14" width="9.88671875" style="11" customWidth="1"/>
    <col min="15" max="15" width="24.109375" style="26" customWidth="1"/>
    <col min="16" max="16" width="2" style="11" customWidth="1"/>
    <col min="17" max="18" width="5.5546875" style="11" customWidth="1"/>
    <col min="19" max="26" width="9" style="11" customWidth="1"/>
    <col min="27" max="16384" width="14.44140625" style="11"/>
  </cols>
  <sheetData>
    <row r="1" spans="1:18" ht="33" customHeight="1">
      <c r="A1" s="353" t="s">
        <v>421</v>
      </c>
      <c r="B1" s="354"/>
      <c r="C1" s="354"/>
      <c r="D1" s="354"/>
      <c r="E1" s="354"/>
      <c r="F1" s="354"/>
      <c r="G1" s="354"/>
      <c r="H1" s="354"/>
      <c r="I1" s="354"/>
      <c r="J1" s="354"/>
      <c r="K1" s="354"/>
      <c r="L1" s="354"/>
      <c r="M1" s="354"/>
      <c r="N1" s="354"/>
      <c r="O1" s="354"/>
      <c r="P1" s="354"/>
      <c r="Q1" s="52" t="s">
        <v>313</v>
      </c>
      <c r="R1" s="52" t="s">
        <v>314</v>
      </c>
    </row>
    <row r="2" spans="1:18" ht="33" customHeight="1" thickBot="1">
      <c r="A2" s="355" t="s">
        <v>423</v>
      </c>
      <c r="B2" s="356"/>
      <c r="C2" s="356"/>
      <c r="D2" s="356"/>
      <c r="E2" s="356"/>
      <c r="F2" s="356"/>
      <c r="G2" s="356"/>
      <c r="H2" s="356"/>
      <c r="I2" s="356"/>
      <c r="J2" s="356"/>
      <c r="K2" s="356"/>
      <c r="L2" s="356"/>
      <c r="M2" s="356"/>
      <c r="N2" s="356"/>
      <c r="O2" s="356"/>
    </row>
    <row r="3" spans="1:18" ht="34.5" customHeight="1">
      <c r="A3" s="357" t="s">
        <v>419</v>
      </c>
      <c r="B3" s="359" t="s">
        <v>0</v>
      </c>
      <c r="C3" s="361" t="s">
        <v>1</v>
      </c>
      <c r="D3" s="359" t="s">
        <v>2</v>
      </c>
      <c r="E3" s="361" t="s">
        <v>3</v>
      </c>
      <c r="F3" s="362" t="s">
        <v>4</v>
      </c>
      <c r="G3" s="363" t="s">
        <v>5</v>
      </c>
      <c r="H3" s="364"/>
      <c r="I3" s="365" t="s">
        <v>6</v>
      </c>
      <c r="J3" s="364"/>
      <c r="K3" s="365" t="s">
        <v>7</v>
      </c>
      <c r="L3" s="364"/>
      <c r="M3" s="366" t="s">
        <v>8</v>
      </c>
      <c r="N3" s="367"/>
      <c r="O3" s="368" t="s">
        <v>9</v>
      </c>
    </row>
    <row r="4" spans="1:18" ht="16.5" customHeight="1" thickBot="1">
      <c r="A4" s="358"/>
      <c r="B4" s="360"/>
      <c r="C4" s="360"/>
      <c r="D4" s="360"/>
      <c r="E4" s="360"/>
      <c r="F4" s="275"/>
      <c r="G4" s="30" t="s">
        <v>10</v>
      </c>
      <c r="H4" s="1" t="s">
        <v>11</v>
      </c>
      <c r="I4" s="1" t="s">
        <v>10</v>
      </c>
      <c r="J4" s="1" t="s">
        <v>11</v>
      </c>
      <c r="K4" s="1" t="s">
        <v>10</v>
      </c>
      <c r="L4" s="1" t="s">
        <v>11</v>
      </c>
      <c r="M4" s="1" t="s">
        <v>0</v>
      </c>
      <c r="N4" s="31" t="s">
        <v>12</v>
      </c>
      <c r="O4" s="369"/>
    </row>
    <row r="5" spans="1:18" ht="16.5" customHeight="1">
      <c r="A5" s="332" t="s">
        <v>13</v>
      </c>
      <c r="B5" s="333" t="s">
        <v>14</v>
      </c>
      <c r="C5" s="56" t="str">
        <f>VLOOKUP(D5,숨김!$B$3:$E$300,2,0)</f>
        <v>공통</v>
      </c>
      <c r="D5" s="56" t="s">
        <v>308</v>
      </c>
      <c r="E5" s="56">
        <f>VLOOKUP(D5,숨김!$B$3:$E$300,3,0)</f>
        <v>4</v>
      </c>
      <c r="F5" s="57">
        <v>4</v>
      </c>
      <c r="G5" s="58">
        <v>4</v>
      </c>
      <c r="H5" s="56"/>
      <c r="I5" s="56"/>
      <c r="J5" s="56"/>
      <c r="K5" s="56"/>
      <c r="L5" s="56"/>
      <c r="M5" s="333">
        <f>SUM(G5:L9)</f>
        <v>20</v>
      </c>
      <c r="N5" s="335">
        <f>SUM(M5,M10,M15)</f>
        <v>60</v>
      </c>
      <c r="O5" s="27" t="str">
        <f>VLOOKUP(D5,숨김!$B$3:$E$300,4,0)</f>
        <v>성취도 5단계+석차등급O</v>
      </c>
    </row>
    <row r="6" spans="1:18" ht="16.5" customHeight="1">
      <c r="A6" s="304"/>
      <c r="B6" s="334"/>
      <c r="C6" s="56" t="str">
        <f>VLOOKUP(D6,숨김!$B$3:$E$300,2,0)</f>
        <v>공통</v>
      </c>
      <c r="D6" s="56" t="s">
        <v>301</v>
      </c>
      <c r="E6" s="56">
        <f>VLOOKUP(D6,숨김!$B$3:$E$300,3,0)</f>
        <v>4</v>
      </c>
      <c r="F6" s="57">
        <v>4</v>
      </c>
      <c r="G6" s="58"/>
      <c r="H6" s="56">
        <v>4</v>
      </c>
      <c r="I6" s="56"/>
      <c r="J6" s="56"/>
      <c r="K6" s="56"/>
      <c r="L6" s="56"/>
      <c r="M6" s="334"/>
      <c r="N6" s="336"/>
      <c r="O6" s="67" t="str">
        <f>VLOOKUP(D6,숨김!$B$3:$E$300,4,0)</f>
        <v>성취도 5단계+석차등급O</v>
      </c>
    </row>
    <row r="7" spans="1:18" ht="16.5" customHeight="1">
      <c r="A7" s="304"/>
      <c r="B7" s="334"/>
      <c r="C7" s="65" t="str">
        <f>VLOOKUP(D7,숨김!$B$3:$E$300,2,0)</f>
        <v>일반</v>
      </c>
      <c r="D7" s="65" t="s">
        <v>424</v>
      </c>
      <c r="E7" s="65">
        <f>VLOOKUP(D7,숨김!$B$3:$E$300,3,0)</f>
        <v>4</v>
      </c>
      <c r="F7" s="66">
        <v>4</v>
      </c>
      <c r="G7" s="58"/>
      <c r="H7" s="65"/>
      <c r="I7" s="65">
        <v>4</v>
      </c>
      <c r="J7" s="65"/>
      <c r="K7" s="65"/>
      <c r="L7" s="65"/>
      <c r="M7" s="334"/>
      <c r="N7" s="336"/>
      <c r="O7" s="67" t="str">
        <f>VLOOKUP(D7,숨김!$B$3:$E$300,4,0)</f>
        <v>성취도 5단계+석차등급O</v>
      </c>
    </row>
    <row r="8" spans="1:18" ht="16.5" customHeight="1">
      <c r="A8" s="304"/>
      <c r="B8" s="334"/>
      <c r="C8" s="56" t="str">
        <f>VLOOKUP(D8,숨김!$B$3:$E$300,2,0)</f>
        <v>일반</v>
      </c>
      <c r="D8" s="59" t="s">
        <v>425</v>
      </c>
      <c r="E8" s="56">
        <f>VLOOKUP(D8,숨김!$B$3:$E$300,3,0)</f>
        <v>4</v>
      </c>
      <c r="F8" s="57">
        <v>4</v>
      </c>
      <c r="G8" s="60"/>
      <c r="H8" s="59"/>
      <c r="I8" s="59"/>
      <c r="J8" s="59">
        <v>4</v>
      </c>
      <c r="K8" s="59"/>
      <c r="L8" s="59"/>
      <c r="M8" s="334"/>
      <c r="N8" s="336"/>
      <c r="O8" s="67" t="str">
        <f>VLOOKUP(D8,숨김!$B$3:$E$300,4,0)</f>
        <v>성취도 5단계+석차등급O</v>
      </c>
    </row>
    <row r="9" spans="1:18" ht="16.5" customHeight="1">
      <c r="A9" s="304"/>
      <c r="B9" s="334"/>
      <c r="C9" s="56" t="str">
        <f>VLOOKUP(D9,숨김!$B$3:$E$300,2,0)</f>
        <v>일반</v>
      </c>
      <c r="D9" s="59" t="s">
        <v>426</v>
      </c>
      <c r="E9" s="56">
        <f>VLOOKUP(D9,숨김!$B$3:$E$300,3,0)</f>
        <v>4</v>
      </c>
      <c r="F9" s="57">
        <v>4</v>
      </c>
      <c r="G9" s="60"/>
      <c r="H9" s="59"/>
      <c r="I9" s="59"/>
      <c r="J9" s="59"/>
      <c r="K9" s="59">
        <v>4</v>
      </c>
      <c r="L9" s="59"/>
      <c r="M9" s="334"/>
      <c r="N9" s="336"/>
      <c r="O9" s="67" t="str">
        <f>VLOOKUP(D9,숨김!$B$3:$E$300,4,0)</f>
        <v>성취도 5단계+석차등급O</v>
      </c>
    </row>
    <row r="10" spans="1:18" ht="16.5" customHeight="1">
      <c r="A10" s="304"/>
      <c r="B10" s="339" t="s">
        <v>20</v>
      </c>
      <c r="C10" s="56" t="str">
        <f>VLOOKUP(D10,숨김!$B$3:$E$300,2,0)</f>
        <v>공통</v>
      </c>
      <c r="D10" s="59" t="s">
        <v>21</v>
      </c>
      <c r="E10" s="56">
        <f>VLOOKUP(D10,숨김!$B$3:$E$300,3,0)</f>
        <v>4</v>
      </c>
      <c r="F10" s="57">
        <v>4</v>
      </c>
      <c r="G10" s="60">
        <v>4</v>
      </c>
      <c r="H10" s="59"/>
      <c r="I10" s="59"/>
      <c r="J10" s="59"/>
      <c r="K10" s="59"/>
      <c r="L10" s="61"/>
      <c r="M10" s="340">
        <f t="shared" ref="M10" si="0">SUM(G10:L14)</f>
        <v>20</v>
      </c>
      <c r="N10" s="337"/>
      <c r="O10" s="67" t="str">
        <f>VLOOKUP(D10,숨김!$B$3:$E$300,4,0)</f>
        <v>성취도 5단계+석차등급O</v>
      </c>
    </row>
    <row r="11" spans="1:18" ht="16.5" customHeight="1">
      <c r="A11" s="304"/>
      <c r="B11" s="334"/>
      <c r="C11" s="56" t="str">
        <f>VLOOKUP(D11,숨김!$B$3:$E$300,2,0)</f>
        <v>공통</v>
      </c>
      <c r="D11" s="59" t="s">
        <v>22</v>
      </c>
      <c r="E11" s="56">
        <f>VLOOKUP(D11,숨김!$B$3:$E$300,3,0)</f>
        <v>4</v>
      </c>
      <c r="F11" s="57">
        <v>4</v>
      </c>
      <c r="G11" s="60"/>
      <c r="H11" s="59">
        <v>4</v>
      </c>
      <c r="I11" s="59"/>
      <c r="J11" s="59"/>
      <c r="K11" s="59"/>
      <c r="L11" s="61"/>
      <c r="M11" s="341"/>
      <c r="N11" s="337"/>
      <c r="O11" s="67" t="str">
        <f>VLOOKUP(D11,숨김!$B$3:$E$300,4,0)</f>
        <v>성취도 5단계+석차등급O</v>
      </c>
    </row>
    <row r="12" spans="1:18" ht="16.5" customHeight="1">
      <c r="A12" s="304"/>
      <c r="B12" s="334"/>
      <c r="C12" s="65" t="str">
        <f>VLOOKUP(D12,숨김!$B$3:$E$300,2,0)</f>
        <v>일반</v>
      </c>
      <c r="D12" s="59" t="s">
        <v>427</v>
      </c>
      <c r="E12" s="65">
        <f>VLOOKUP(D12,숨김!$B$3:$E$300,3,0)</f>
        <v>4</v>
      </c>
      <c r="F12" s="66">
        <v>4</v>
      </c>
      <c r="G12" s="60"/>
      <c r="H12" s="59"/>
      <c r="I12" s="59">
        <v>4</v>
      </c>
      <c r="J12" s="59"/>
      <c r="K12" s="59"/>
      <c r="L12" s="61"/>
      <c r="M12" s="341"/>
      <c r="N12" s="337"/>
      <c r="O12" s="67" t="str">
        <f>VLOOKUP(D12,숨김!$B$3:$E$300,4,0)</f>
        <v>성취도 5단계+석차등급O</v>
      </c>
    </row>
    <row r="13" spans="1:18" ht="16.2" customHeight="1">
      <c r="A13" s="304"/>
      <c r="B13" s="334"/>
      <c r="C13" s="56" t="str">
        <f>VLOOKUP(D13,숨김!$B$3:$E$300,2,0)</f>
        <v>일반</v>
      </c>
      <c r="D13" s="59" t="s">
        <v>428</v>
      </c>
      <c r="E13" s="56">
        <f>VLOOKUP(D13,숨김!$B$3:$E$300,3,0)</f>
        <v>4</v>
      </c>
      <c r="F13" s="57">
        <v>4</v>
      </c>
      <c r="G13" s="60"/>
      <c r="H13" s="59"/>
      <c r="I13" s="59"/>
      <c r="J13" s="59">
        <v>4</v>
      </c>
      <c r="K13" s="59"/>
      <c r="L13" s="61"/>
      <c r="M13" s="341"/>
      <c r="N13" s="337"/>
      <c r="O13" s="67" t="str">
        <f>VLOOKUP(D13,숨김!$B$3:$E$300,4,0)</f>
        <v>성취도 5단계+석차등급O</v>
      </c>
    </row>
    <row r="14" spans="1:18" ht="16.5" customHeight="1">
      <c r="A14" s="304"/>
      <c r="B14" s="334"/>
      <c r="C14" s="56" t="str">
        <f>VLOOKUP(D14,숨김!$B$3:$E$300,2,0)</f>
        <v>일반</v>
      </c>
      <c r="D14" s="59" t="s">
        <v>429</v>
      </c>
      <c r="E14" s="56">
        <f>VLOOKUP(D14,숨김!$B$3:$E$300,3,0)</f>
        <v>4</v>
      </c>
      <c r="F14" s="57">
        <v>4</v>
      </c>
      <c r="G14" s="60"/>
      <c r="H14" s="59"/>
      <c r="I14" s="59"/>
      <c r="J14" s="59"/>
      <c r="K14" s="59">
        <v>4</v>
      </c>
      <c r="L14" s="61"/>
      <c r="M14" s="341"/>
      <c r="N14" s="337"/>
      <c r="O14" s="67" t="str">
        <f>VLOOKUP(D14,숨김!$B$3:$E$300,4,0)</f>
        <v>성취도 5단계+석차등급O</v>
      </c>
    </row>
    <row r="15" spans="1:18" ht="16.5" customHeight="1">
      <c r="A15" s="304"/>
      <c r="B15" s="339" t="s">
        <v>23</v>
      </c>
      <c r="C15" s="56" t="str">
        <f>VLOOKUP(D15,숨김!$B$3:$E$300,2,0)</f>
        <v>공통</v>
      </c>
      <c r="D15" s="59" t="s">
        <v>24</v>
      </c>
      <c r="E15" s="56">
        <f>VLOOKUP(D15,숨김!$B$3:$E$300,3,0)</f>
        <v>4</v>
      </c>
      <c r="F15" s="57">
        <v>4</v>
      </c>
      <c r="G15" s="60">
        <v>4</v>
      </c>
      <c r="H15" s="59"/>
      <c r="I15" s="59"/>
      <c r="J15" s="59"/>
      <c r="K15" s="59"/>
      <c r="L15" s="59"/>
      <c r="M15" s="342">
        <f t="shared" ref="M15" si="1">SUM(G15:L19)</f>
        <v>20</v>
      </c>
      <c r="N15" s="336"/>
      <c r="O15" s="67" t="str">
        <f>VLOOKUP(D15,숨김!$B$3:$E$300,4,0)</f>
        <v>성취도 5단계+석차등급O</v>
      </c>
    </row>
    <row r="16" spans="1:18" ht="16.5" customHeight="1">
      <c r="A16" s="304"/>
      <c r="B16" s="334"/>
      <c r="C16" s="56" t="str">
        <f>VLOOKUP(D16,숨김!$B$3:$E$300,2,0)</f>
        <v>공통</v>
      </c>
      <c r="D16" s="59" t="s">
        <v>25</v>
      </c>
      <c r="E16" s="56">
        <f>VLOOKUP(D16,숨김!$B$3:$E$300,3,0)</f>
        <v>4</v>
      </c>
      <c r="F16" s="57">
        <v>4</v>
      </c>
      <c r="G16" s="60"/>
      <c r="H16" s="59">
        <v>4</v>
      </c>
      <c r="I16" s="59"/>
      <c r="J16" s="59"/>
      <c r="K16" s="59"/>
      <c r="L16" s="59"/>
      <c r="M16" s="334"/>
      <c r="N16" s="336"/>
      <c r="O16" s="67" t="str">
        <f>VLOOKUP(D16,숨김!$B$3:$E$300,4,0)</f>
        <v>성취도 5단계+석차등급O</v>
      </c>
    </row>
    <row r="17" spans="1:15" ht="16.5" customHeight="1">
      <c r="A17" s="304"/>
      <c r="B17" s="334"/>
      <c r="C17" s="65" t="str">
        <f>VLOOKUP(D17,숨김!$B$3:$E$300,2,0)</f>
        <v>일반</v>
      </c>
      <c r="D17" s="59" t="s">
        <v>430</v>
      </c>
      <c r="E17" s="65">
        <f>VLOOKUP(D17,숨김!$B$3:$E$300,3,0)</f>
        <v>4</v>
      </c>
      <c r="F17" s="66">
        <v>4</v>
      </c>
      <c r="G17" s="60"/>
      <c r="H17" s="59"/>
      <c r="I17" s="59">
        <v>4</v>
      </c>
      <c r="J17" s="59"/>
      <c r="K17" s="59"/>
      <c r="L17" s="59"/>
      <c r="M17" s="334"/>
      <c r="N17" s="336"/>
      <c r="O17" s="67" t="str">
        <f>VLOOKUP(D17,숨김!$B$3:$E$300,4,0)</f>
        <v>성취도 5단계+석차등급O</v>
      </c>
    </row>
    <row r="18" spans="1:15" ht="16.5" customHeight="1">
      <c r="A18" s="304"/>
      <c r="B18" s="334"/>
      <c r="C18" s="56" t="str">
        <f>VLOOKUP(D18,숨김!$B$3:$E$300,2,0)</f>
        <v>일반</v>
      </c>
      <c r="D18" s="59" t="s">
        <v>431</v>
      </c>
      <c r="E18" s="56">
        <f>VLOOKUP(D18,숨김!$B$3:$E$300,3,0)</f>
        <v>4</v>
      </c>
      <c r="F18" s="57">
        <v>4</v>
      </c>
      <c r="G18" s="60"/>
      <c r="H18" s="59"/>
      <c r="I18" s="59"/>
      <c r="J18" s="59">
        <v>4</v>
      </c>
      <c r="K18" s="59"/>
      <c r="L18" s="59"/>
      <c r="M18" s="334"/>
      <c r="N18" s="336"/>
      <c r="O18" s="27" t="str">
        <f>VLOOKUP(D18,숨김!$B$3:$E$300,4,0)</f>
        <v>성취도 5단계+석차등급O</v>
      </c>
    </row>
    <row r="19" spans="1:15" ht="16.5" customHeight="1">
      <c r="A19" s="304"/>
      <c r="B19" s="334"/>
      <c r="C19" s="56" t="str">
        <f>VLOOKUP(D19,숨김!$B$3:$E$300,2,0)</f>
        <v>일반</v>
      </c>
      <c r="D19" s="59" t="s">
        <v>432</v>
      </c>
      <c r="E19" s="56">
        <f>VLOOKUP(D19,숨김!$B$3:$E$300,3,0)</f>
        <v>4</v>
      </c>
      <c r="F19" s="57">
        <v>4</v>
      </c>
      <c r="G19" s="60"/>
      <c r="H19" s="59"/>
      <c r="I19" s="59"/>
      <c r="J19" s="59"/>
      <c r="K19" s="59">
        <v>4</v>
      </c>
      <c r="L19" s="59"/>
      <c r="M19" s="334"/>
      <c r="N19" s="338"/>
      <c r="O19" s="27" t="str">
        <f>VLOOKUP(D19,숨김!$B$3:$E$300,4,0)</f>
        <v>성취도 5단계+석차등급O</v>
      </c>
    </row>
    <row r="20" spans="1:15" ht="16.5" customHeight="1">
      <c r="A20" s="304"/>
      <c r="B20" s="322" t="s">
        <v>57</v>
      </c>
      <c r="C20" s="56" t="str">
        <f>VLOOKUP(D20,숨김!$B$3:$E$300,2,0)</f>
        <v>공통</v>
      </c>
      <c r="D20" s="59" t="s">
        <v>26</v>
      </c>
      <c r="E20" s="56">
        <f>VLOOKUP(D20,숨김!$B$3:$E$300,3,0)</f>
        <v>3</v>
      </c>
      <c r="F20" s="57">
        <v>3</v>
      </c>
      <c r="G20" s="60">
        <v>3</v>
      </c>
      <c r="H20" s="59"/>
      <c r="I20" s="59"/>
      <c r="J20" s="59"/>
      <c r="K20" s="59"/>
      <c r="L20" s="59"/>
      <c r="M20" s="324">
        <f>SUM(G20:L21)</f>
        <v>6</v>
      </c>
      <c r="N20" s="343"/>
      <c r="O20" s="27" t="str">
        <f>VLOOKUP(D20,숨김!$B$3:$E$300,4,0)</f>
        <v>성취도 5단계+석차등급O</v>
      </c>
    </row>
    <row r="21" spans="1:15" ht="16.5" customHeight="1">
      <c r="A21" s="304"/>
      <c r="B21" s="342"/>
      <c r="C21" s="56" t="str">
        <f>VLOOKUP(D21,숨김!$B$3:$E$300,2,0)</f>
        <v>공통</v>
      </c>
      <c r="D21" s="59" t="s">
        <v>27</v>
      </c>
      <c r="E21" s="56">
        <f>VLOOKUP(D21,숨김!$B$3:$E$300,3,0)</f>
        <v>3</v>
      </c>
      <c r="F21" s="57">
        <v>3</v>
      </c>
      <c r="G21" s="60"/>
      <c r="H21" s="59">
        <v>3</v>
      </c>
      <c r="I21" s="59"/>
      <c r="J21" s="59"/>
      <c r="K21" s="59"/>
      <c r="L21" s="59"/>
      <c r="M21" s="344"/>
      <c r="N21" s="345"/>
      <c r="O21" s="27" t="str">
        <f>VLOOKUP(D21,숨김!$B$3:$E$300,4,0)</f>
        <v>성취도 5단계+석차등급O</v>
      </c>
    </row>
    <row r="22" spans="1:15" ht="16.5" customHeight="1">
      <c r="A22" s="304"/>
      <c r="B22" s="342"/>
      <c r="C22" s="56" t="str">
        <f>VLOOKUP(D22,숨김!$B$3:$E$300,2,0)</f>
        <v>공통</v>
      </c>
      <c r="D22" s="59" t="s">
        <v>28</v>
      </c>
      <c r="E22" s="56">
        <f>VLOOKUP(D22,숨김!$B$3:$E$300,3,0)</f>
        <v>4</v>
      </c>
      <c r="F22" s="57">
        <v>4</v>
      </c>
      <c r="G22" s="60">
        <v>4</v>
      </c>
      <c r="H22" s="59"/>
      <c r="I22" s="59"/>
      <c r="J22" s="59"/>
      <c r="K22" s="59"/>
      <c r="L22" s="59"/>
      <c r="M22" s="324">
        <f>SUM(G22:L23)</f>
        <v>8</v>
      </c>
      <c r="N22" s="343"/>
      <c r="O22" s="27" t="str">
        <f>VLOOKUP(D22,숨김!$B$3:$E$300,4,0)</f>
        <v>성취도 5단계+석차등급O</v>
      </c>
    </row>
    <row r="23" spans="1:15" ht="16.5" customHeight="1">
      <c r="A23" s="304"/>
      <c r="B23" s="323"/>
      <c r="C23" s="56" t="str">
        <f>VLOOKUP(D23,숨김!$B$3:$E$300,2,0)</f>
        <v>공통</v>
      </c>
      <c r="D23" s="59" t="s">
        <v>29</v>
      </c>
      <c r="E23" s="56">
        <f>VLOOKUP(D23,숨김!$B$3:$E$300,3,0)</f>
        <v>4</v>
      </c>
      <c r="F23" s="57">
        <v>4</v>
      </c>
      <c r="G23" s="60"/>
      <c r="H23" s="59">
        <v>4</v>
      </c>
      <c r="I23" s="59"/>
      <c r="J23" s="59"/>
      <c r="K23" s="59"/>
      <c r="L23" s="59"/>
      <c r="M23" s="344"/>
      <c r="N23" s="345"/>
      <c r="O23" s="27" t="str">
        <f>VLOOKUP(D23,숨김!$B$3:$E$300,4,0)</f>
        <v>성취도 5단계+석차등급O</v>
      </c>
    </row>
    <row r="24" spans="1:15" ht="16.5" customHeight="1">
      <c r="A24" s="304"/>
      <c r="B24" s="339" t="s">
        <v>56</v>
      </c>
      <c r="C24" s="56" t="str">
        <f>VLOOKUP(D24,숨김!$B$3:$E$300,2,0)</f>
        <v>공통</v>
      </c>
      <c r="D24" s="59" t="s">
        <v>30</v>
      </c>
      <c r="E24" s="56">
        <f>VLOOKUP(D24,숨김!$B$3:$E$300,3,0)</f>
        <v>4</v>
      </c>
      <c r="F24" s="57">
        <v>4</v>
      </c>
      <c r="G24" s="60">
        <v>4</v>
      </c>
      <c r="H24" s="59"/>
      <c r="I24" s="59"/>
      <c r="J24" s="59"/>
      <c r="K24" s="59"/>
      <c r="L24" s="59"/>
      <c r="M24" s="324">
        <f>SUM(G24:L27)</f>
        <v>10</v>
      </c>
      <c r="N24" s="347"/>
      <c r="O24" s="27" t="str">
        <f>VLOOKUP(D24,숨김!$B$3:$E$300,4,0)</f>
        <v>성취도 5단계+석차등급O</v>
      </c>
    </row>
    <row r="25" spans="1:15" ht="16.5" customHeight="1">
      <c r="A25" s="304"/>
      <c r="B25" s="334"/>
      <c r="C25" s="56" t="str">
        <f>VLOOKUP(D25,숨김!$B$3:$E$300,2,0)</f>
        <v>공통</v>
      </c>
      <c r="D25" s="59" t="s">
        <v>31</v>
      </c>
      <c r="E25" s="56">
        <f>VLOOKUP(D25,숨김!$B$3:$E$300,3,0)</f>
        <v>4</v>
      </c>
      <c r="F25" s="57">
        <v>4</v>
      </c>
      <c r="G25" s="60"/>
      <c r="H25" s="59">
        <v>4</v>
      </c>
      <c r="I25" s="59"/>
      <c r="J25" s="59"/>
      <c r="K25" s="59"/>
      <c r="L25" s="59"/>
      <c r="M25" s="348"/>
      <c r="N25" s="349"/>
      <c r="O25" s="27" t="str">
        <f>VLOOKUP(D25,숨김!$B$3:$E$300,4,0)</f>
        <v>성취도 5단계+석차등급O</v>
      </c>
    </row>
    <row r="26" spans="1:15" ht="16.5" customHeight="1">
      <c r="A26" s="304"/>
      <c r="B26" s="334"/>
      <c r="C26" s="56" t="str">
        <f>VLOOKUP(D26,숨김!$B$3:$E$300,2,0)</f>
        <v>공통</v>
      </c>
      <c r="D26" s="59" t="s">
        <v>32</v>
      </c>
      <c r="E26" s="56">
        <f>VLOOKUP(D26,숨김!$B$3:$E$300,3,0)</f>
        <v>1</v>
      </c>
      <c r="F26" s="57">
        <v>1</v>
      </c>
      <c r="G26" s="60">
        <v>1</v>
      </c>
      <c r="H26" s="59"/>
      <c r="I26" s="59"/>
      <c r="J26" s="59"/>
      <c r="K26" s="59"/>
      <c r="L26" s="59"/>
      <c r="M26" s="348"/>
      <c r="N26" s="349"/>
      <c r="O26" s="27" t="str">
        <f>VLOOKUP(D26,숨김!$B$3:$E$300,4,0)</f>
        <v>성취도 3단계</v>
      </c>
    </row>
    <row r="27" spans="1:15" ht="16.5" customHeight="1">
      <c r="A27" s="304"/>
      <c r="B27" s="346"/>
      <c r="C27" s="56" t="str">
        <f>VLOOKUP(D27,숨김!$B$3:$E$300,2,0)</f>
        <v>공통</v>
      </c>
      <c r="D27" s="59" t="s">
        <v>34</v>
      </c>
      <c r="E27" s="56">
        <f>VLOOKUP(D27,숨김!$B$3:$E$300,3,0)</f>
        <v>1</v>
      </c>
      <c r="F27" s="57">
        <v>1</v>
      </c>
      <c r="G27" s="60"/>
      <c r="H27" s="59">
        <v>1</v>
      </c>
      <c r="I27" s="59"/>
      <c r="J27" s="59"/>
      <c r="K27" s="59"/>
      <c r="L27" s="59"/>
      <c r="M27" s="350"/>
      <c r="N27" s="351"/>
      <c r="O27" s="27" t="str">
        <f>VLOOKUP(D27,숨김!$B$3:$E$300,4,0)</f>
        <v>성취도 3단계</v>
      </c>
    </row>
    <row r="28" spans="1:15" ht="16.5" customHeight="1">
      <c r="A28" s="304"/>
      <c r="B28" s="339" t="s">
        <v>300</v>
      </c>
      <c r="C28" s="56" t="str">
        <f>VLOOKUP(D28,숨김!$B$3:$E$300,2,0)</f>
        <v>일반</v>
      </c>
      <c r="D28" s="59" t="s">
        <v>433</v>
      </c>
      <c r="E28" s="56">
        <f>VLOOKUP(D28,숨김!$B$3:$E$300,3,0)</f>
        <v>3</v>
      </c>
      <c r="F28" s="57">
        <v>2</v>
      </c>
      <c r="G28" s="60">
        <v>2</v>
      </c>
      <c r="H28" s="59"/>
      <c r="I28" s="59"/>
      <c r="J28" s="59"/>
      <c r="K28" s="59"/>
      <c r="L28" s="59"/>
      <c r="M28" s="324">
        <f>SUM(G28:L33)</f>
        <v>10</v>
      </c>
      <c r="N28" s="343"/>
      <c r="O28" s="27" t="str">
        <f>VLOOKUP(D28,숨김!$B$3:$E$300,4,0)</f>
        <v>성취도 3단계</v>
      </c>
    </row>
    <row r="29" spans="1:15" ht="16.5" customHeight="1">
      <c r="A29" s="304"/>
      <c r="B29" s="334"/>
      <c r="C29" s="56" t="str">
        <f>VLOOKUP(D29,숨김!$B$3:$E$300,2,0)</f>
        <v>일반</v>
      </c>
      <c r="D29" s="59" t="s">
        <v>434</v>
      </c>
      <c r="E29" s="56">
        <f>VLOOKUP(D29,숨김!$B$3:$E$300,3,0)</f>
        <v>3</v>
      </c>
      <c r="F29" s="57">
        <v>2</v>
      </c>
      <c r="G29" s="60"/>
      <c r="H29" s="59">
        <v>2</v>
      </c>
      <c r="I29" s="59"/>
      <c r="J29" s="59"/>
      <c r="K29" s="59"/>
      <c r="L29" s="59"/>
      <c r="M29" s="352"/>
      <c r="N29" s="337"/>
      <c r="O29" s="27" t="str">
        <f>VLOOKUP(D29,숨김!$B$3:$E$300,4,0)</f>
        <v>성취도 3단계</v>
      </c>
    </row>
    <row r="30" spans="1:15" ht="16.5" customHeight="1">
      <c r="A30" s="304"/>
      <c r="B30" s="334"/>
      <c r="C30" s="56" t="str">
        <f>VLOOKUP(D30,숨김!$B$3:$E$300,2,0)</f>
        <v>진로</v>
      </c>
      <c r="D30" s="59" t="s">
        <v>435</v>
      </c>
      <c r="E30" s="56">
        <f>VLOOKUP(D30,숨김!$B$3:$E$300,3,0)</f>
        <v>2</v>
      </c>
      <c r="F30" s="57">
        <v>1</v>
      </c>
      <c r="G30" s="60"/>
      <c r="H30" s="59"/>
      <c r="I30" s="59">
        <v>1</v>
      </c>
      <c r="J30" s="59"/>
      <c r="K30" s="59"/>
      <c r="L30" s="59"/>
      <c r="M30" s="352"/>
      <c r="N30" s="337"/>
      <c r="O30" s="27" t="str">
        <f>VLOOKUP(D30,숨김!$B$3:$E$300,4,0)</f>
        <v>성취도 3단계</v>
      </c>
    </row>
    <row r="31" spans="1:15" ht="16.5" customHeight="1">
      <c r="A31" s="304"/>
      <c r="B31" s="334"/>
      <c r="C31" s="56" t="str">
        <f>VLOOKUP(D31,숨김!$B$3:$E$300,2,0)</f>
        <v>진로</v>
      </c>
      <c r="D31" s="59" t="s">
        <v>436</v>
      </c>
      <c r="E31" s="56">
        <f>VLOOKUP(D31,숨김!$B$3:$E$300,3,0)</f>
        <v>2</v>
      </c>
      <c r="F31" s="57">
        <v>1</v>
      </c>
      <c r="G31" s="60"/>
      <c r="H31" s="59"/>
      <c r="I31" s="59"/>
      <c r="J31" s="59">
        <v>1</v>
      </c>
      <c r="K31" s="59"/>
      <c r="L31" s="59"/>
      <c r="M31" s="352"/>
      <c r="N31" s="337"/>
      <c r="O31" s="27" t="str">
        <f>VLOOKUP(D31,숨김!$B$3:$E$300,4,0)</f>
        <v>성취도 3단계</v>
      </c>
    </row>
    <row r="32" spans="1:15" ht="16.5" customHeight="1">
      <c r="A32" s="304"/>
      <c r="B32" s="334"/>
      <c r="C32" s="56" t="str">
        <f>VLOOKUP(D32,숨김!$B$3:$E$300,2,0)</f>
        <v>융합</v>
      </c>
      <c r="D32" s="59" t="s">
        <v>437</v>
      </c>
      <c r="E32" s="56">
        <f>VLOOKUP(D32,숨김!$B$3:$E$300,3,0)</f>
        <v>3</v>
      </c>
      <c r="F32" s="57">
        <v>2</v>
      </c>
      <c r="G32" s="60"/>
      <c r="H32" s="59"/>
      <c r="I32" s="59"/>
      <c r="J32" s="59"/>
      <c r="K32" s="59">
        <v>2</v>
      </c>
      <c r="L32" s="59"/>
      <c r="M32" s="352"/>
      <c r="N32" s="337"/>
      <c r="O32" s="27" t="str">
        <f>VLOOKUP(D32,숨김!$B$3:$E$300,4,0)</f>
        <v>성취도 3단계</v>
      </c>
    </row>
    <row r="33" spans="1:15" ht="16.5" customHeight="1">
      <c r="A33" s="304"/>
      <c r="B33" s="346"/>
      <c r="C33" s="56" t="str">
        <f>VLOOKUP(D33,숨김!$B$3:$E$300,2,0)</f>
        <v>융합</v>
      </c>
      <c r="D33" s="59" t="s">
        <v>438</v>
      </c>
      <c r="E33" s="56">
        <f>VLOOKUP(D33,숨김!$B$3:$E$300,3,0)</f>
        <v>3</v>
      </c>
      <c r="F33" s="57">
        <v>2</v>
      </c>
      <c r="G33" s="60"/>
      <c r="H33" s="59"/>
      <c r="I33" s="59"/>
      <c r="J33" s="59"/>
      <c r="K33" s="59"/>
      <c r="L33" s="59">
        <v>2</v>
      </c>
      <c r="M33" s="344"/>
      <c r="N33" s="345"/>
      <c r="O33" s="27" t="str">
        <f>VLOOKUP(D33,숨김!$B$3:$E$300,4,0)</f>
        <v>성취도 3단계</v>
      </c>
    </row>
    <row r="34" spans="1:15" ht="16.5" customHeight="1">
      <c r="A34" s="304"/>
      <c r="B34" s="64" t="s">
        <v>302</v>
      </c>
      <c r="C34" s="56" t="s">
        <v>19</v>
      </c>
      <c r="D34" s="59" t="s">
        <v>440</v>
      </c>
      <c r="E34" s="56">
        <v>3</v>
      </c>
      <c r="F34" s="57" t="s">
        <v>439</v>
      </c>
      <c r="G34" s="60"/>
      <c r="H34" s="59"/>
      <c r="I34" s="59">
        <v>2</v>
      </c>
      <c r="J34" s="59">
        <v>2</v>
      </c>
      <c r="K34" s="59"/>
      <c r="L34" s="59"/>
      <c r="M34" s="324">
        <f>SUM(G34:L34)</f>
        <v>4</v>
      </c>
      <c r="N34" s="325"/>
      <c r="O34" s="27" t="s">
        <v>33</v>
      </c>
    </row>
    <row r="35" spans="1:15" ht="16.5" customHeight="1">
      <c r="A35" s="304"/>
      <c r="B35" s="62" t="s">
        <v>39</v>
      </c>
      <c r="C35" s="56" t="s">
        <v>19</v>
      </c>
      <c r="D35" s="322" t="s">
        <v>441</v>
      </c>
      <c r="E35" s="322">
        <v>4</v>
      </c>
      <c r="F35" s="328" t="s">
        <v>442</v>
      </c>
      <c r="G35" s="330">
        <v>3</v>
      </c>
      <c r="H35" s="322">
        <v>3</v>
      </c>
      <c r="I35" s="322"/>
      <c r="J35" s="322"/>
      <c r="K35" s="322"/>
      <c r="L35" s="322"/>
      <c r="M35" s="324">
        <v>6</v>
      </c>
      <c r="N35" s="325"/>
      <c r="O35" s="314" t="s">
        <v>17</v>
      </c>
    </row>
    <row r="36" spans="1:15" ht="16.5" customHeight="1" thickBot="1">
      <c r="A36" s="304"/>
      <c r="B36" s="63" t="s">
        <v>40</v>
      </c>
      <c r="C36" s="56" t="s">
        <v>19</v>
      </c>
      <c r="D36" s="323"/>
      <c r="E36" s="323"/>
      <c r="F36" s="329"/>
      <c r="G36" s="331"/>
      <c r="H36" s="323"/>
      <c r="I36" s="323"/>
      <c r="J36" s="323"/>
      <c r="K36" s="323"/>
      <c r="L36" s="323"/>
      <c r="M36" s="326"/>
      <c r="N36" s="327"/>
      <c r="O36" s="315"/>
    </row>
    <row r="37" spans="1:15" ht="16.5" customHeight="1" thickBot="1">
      <c r="A37" s="316" t="s">
        <v>41</v>
      </c>
      <c r="B37" s="317"/>
      <c r="C37" s="317"/>
      <c r="D37" s="318"/>
      <c r="E37" s="9"/>
      <c r="F37" s="10"/>
      <c r="G37" s="34">
        <f t="shared" ref="G37:L37" si="2">SUM(G5:G36)</f>
        <v>29</v>
      </c>
      <c r="H37" s="9">
        <f t="shared" si="2"/>
        <v>29</v>
      </c>
      <c r="I37" s="9">
        <f t="shared" si="2"/>
        <v>15</v>
      </c>
      <c r="J37" s="9">
        <f t="shared" si="2"/>
        <v>15</v>
      </c>
      <c r="K37" s="9">
        <f t="shared" si="2"/>
        <v>14</v>
      </c>
      <c r="L37" s="9">
        <f t="shared" si="2"/>
        <v>2</v>
      </c>
      <c r="M37" s="319">
        <f>SUM(G37:L37)</f>
        <v>104</v>
      </c>
      <c r="N37" s="320"/>
      <c r="O37" s="28"/>
    </row>
    <row r="38" spans="1:15" ht="16.5" customHeight="1">
      <c r="A38" s="267" t="s">
        <v>42</v>
      </c>
      <c r="B38" s="321" t="s">
        <v>445</v>
      </c>
      <c r="C38" s="56" t="str">
        <f>VLOOKUP(D38,숨김!$B$3:$E$300,2,0)</f>
        <v>진로</v>
      </c>
      <c r="D38" s="48" t="s">
        <v>443</v>
      </c>
      <c r="E38" s="53">
        <f>VLOOKUP(D38,숨김!$B$3:$E$300,3,0)</f>
        <v>4</v>
      </c>
      <c r="F38" s="15">
        <v>4</v>
      </c>
      <c r="G38" s="32"/>
      <c r="H38" s="14"/>
      <c r="I38" s="74">
        <v>4</v>
      </c>
      <c r="J38" s="5"/>
      <c r="K38" s="14"/>
      <c r="L38" s="14"/>
      <c r="M38" s="273">
        <f>SUM(G38:L46)</f>
        <v>12</v>
      </c>
      <c r="N38" s="307"/>
      <c r="O38" s="27" t="str">
        <f>VLOOKUP(D38,숨김!$B$3:$E$300,4,0)</f>
        <v>성취도 5단계+석차등급O</v>
      </c>
    </row>
    <row r="39" spans="1:15" ht="16.5" customHeight="1">
      <c r="A39" s="304"/>
      <c r="B39" s="254"/>
      <c r="C39" s="56" t="str">
        <f>VLOOKUP(D39,숨김!$B$3:$E$300,2,0)</f>
        <v>일반</v>
      </c>
      <c r="D39" s="2" t="s">
        <v>444</v>
      </c>
      <c r="E39" s="53">
        <f>VLOOKUP(D39,숨김!$B$3:$E$300,3,0)</f>
        <v>4</v>
      </c>
      <c r="F39" s="15">
        <v>4</v>
      </c>
      <c r="G39" s="33"/>
      <c r="H39" s="2"/>
      <c r="I39" s="4">
        <v>4</v>
      </c>
      <c r="J39" s="2"/>
      <c r="K39" s="2"/>
      <c r="L39" s="2"/>
      <c r="M39" s="306"/>
      <c r="N39" s="307"/>
      <c r="O39" s="27" t="str">
        <f>VLOOKUP(D39,숨김!$B$3:$E$300,4,0)</f>
        <v>성취도 5단계+석차등급O</v>
      </c>
    </row>
    <row r="40" spans="1:15" ht="16.5" customHeight="1">
      <c r="A40" s="304"/>
      <c r="B40" s="254"/>
      <c r="C40" s="56" t="str">
        <f>VLOOKUP(D40,숨김!$B$3:$E$300,2,0)</f>
        <v>진로</v>
      </c>
      <c r="D40" s="2" t="s">
        <v>446</v>
      </c>
      <c r="E40" s="53">
        <f>VLOOKUP(D40,숨김!$B$3:$E$300,3,0)</f>
        <v>4</v>
      </c>
      <c r="F40" s="15">
        <v>4</v>
      </c>
      <c r="G40" s="33"/>
      <c r="H40" s="2"/>
      <c r="I40" s="4">
        <v>4</v>
      </c>
      <c r="J40" s="2"/>
      <c r="K40" s="2"/>
      <c r="L40" s="2"/>
      <c r="M40" s="306"/>
      <c r="N40" s="307"/>
      <c r="O40" s="67" t="str">
        <f>VLOOKUP(D40,숨김!$B$3:$E$300,4,0)</f>
        <v>성취도 5단계+석차등급O</v>
      </c>
    </row>
    <row r="41" spans="1:15" ht="16.5" customHeight="1">
      <c r="A41" s="304"/>
      <c r="B41" s="254"/>
      <c r="C41" s="56" t="str">
        <f>VLOOKUP(D41,숨김!$B$3:$E$300,2,0)</f>
        <v>융합</v>
      </c>
      <c r="D41" s="2" t="s">
        <v>447</v>
      </c>
      <c r="E41" s="53">
        <f>VLOOKUP(D41,숨김!$B$3:$E$300,3,0)</f>
        <v>4</v>
      </c>
      <c r="F41" s="15">
        <v>4</v>
      </c>
      <c r="G41" s="33"/>
      <c r="H41" s="2"/>
      <c r="I41" s="4"/>
      <c r="J41" s="2"/>
      <c r="K41" s="2"/>
      <c r="L41" s="2"/>
      <c r="M41" s="306"/>
      <c r="N41" s="307"/>
      <c r="O41" s="67" t="str">
        <f>VLOOKUP(D41,숨김!$B$3:$E$300,4,0)</f>
        <v>성취도 5단계+석차등급X</v>
      </c>
    </row>
    <row r="42" spans="1:15" ht="16.5" customHeight="1">
      <c r="A42" s="304"/>
      <c r="B42" s="254"/>
      <c r="C42" s="70" t="str">
        <f>VLOOKUP(D42,숨김!$B$3:$E$300,2,0)</f>
        <v>진로</v>
      </c>
      <c r="D42" s="71" t="s">
        <v>448</v>
      </c>
      <c r="E42" s="71">
        <f>VLOOKUP(D42,숨김!$B$3:$E$300,3,0)</f>
        <v>4</v>
      </c>
      <c r="F42" s="72">
        <v>4</v>
      </c>
      <c r="G42" s="73"/>
      <c r="H42" s="71"/>
      <c r="I42" s="4"/>
      <c r="J42" s="71"/>
      <c r="K42" s="13"/>
      <c r="L42" s="13"/>
      <c r="M42" s="306"/>
      <c r="N42" s="307"/>
      <c r="O42" s="67" t="str">
        <f>VLOOKUP(D42,숨김!$B$3:$E$300,4,0)</f>
        <v>성취도 5단계+석차등급O</v>
      </c>
    </row>
    <row r="43" spans="1:15" ht="16.5" customHeight="1">
      <c r="A43" s="304"/>
      <c r="B43" s="269" t="s">
        <v>449</v>
      </c>
      <c r="C43" s="56" t="str">
        <f>VLOOKUP(D43,숨김!$B$3:$E$300,2,0)</f>
        <v>일반</v>
      </c>
      <c r="D43" s="53" t="s">
        <v>450</v>
      </c>
      <c r="E43" s="53">
        <f>VLOOKUP(D43,숨김!$B$3:$E$300,3,0)</f>
        <v>4</v>
      </c>
      <c r="F43" s="15">
        <v>4</v>
      </c>
      <c r="G43" s="32"/>
      <c r="H43" s="53"/>
      <c r="I43" s="4"/>
      <c r="J43" s="14"/>
      <c r="K43" s="13"/>
      <c r="L43" s="13"/>
      <c r="M43" s="306"/>
      <c r="N43" s="307"/>
      <c r="O43" s="67" t="str">
        <f>VLOOKUP(D43,숨김!$B$3:$E$300,4,0)</f>
        <v>성취도 5단계+석차등급O</v>
      </c>
    </row>
    <row r="44" spans="1:15" ht="16.5" customHeight="1">
      <c r="A44" s="304"/>
      <c r="B44" s="254"/>
      <c r="C44" s="65" t="str">
        <f>VLOOKUP(D44,숨김!$B$3:$E$300,2,0)</f>
        <v>일반</v>
      </c>
      <c r="D44" s="2" t="s">
        <v>451</v>
      </c>
      <c r="E44" s="53">
        <f>VLOOKUP(D44,숨김!$B$3:$E$300,3,0)</f>
        <v>4</v>
      </c>
      <c r="F44" s="15">
        <v>4</v>
      </c>
      <c r="G44" s="33"/>
      <c r="H44" s="2"/>
      <c r="I44" s="4"/>
      <c r="J44" s="53"/>
      <c r="K44" s="13"/>
      <c r="L44" s="13"/>
      <c r="M44" s="306"/>
      <c r="N44" s="307"/>
      <c r="O44" s="67" t="str">
        <f>VLOOKUP(D44,숨김!$B$3:$E$300,4,0)</f>
        <v>성취도 5단계+석차등급O</v>
      </c>
    </row>
    <row r="45" spans="1:15" ht="16.5" customHeight="1">
      <c r="A45" s="304"/>
      <c r="B45" s="310"/>
      <c r="C45" s="56" t="str">
        <f>VLOOKUP(D45,숨김!$B$3:$E$300,2,0)</f>
        <v>일반</v>
      </c>
      <c r="D45" s="2" t="s">
        <v>452</v>
      </c>
      <c r="E45" s="53">
        <f>VLOOKUP(D45,숨김!$B$3:$E$300,3,0)</f>
        <v>4</v>
      </c>
      <c r="F45" s="15">
        <v>4</v>
      </c>
      <c r="G45" s="33"/>
      <c r="H45" s="2"/>
      <c r="I45" s="4"/>
      <c r="J45" s="14"/>
      <c r="K45" s="13"/>
      <c r="L45" s="13"/>
      <c r="M45" s="306"/>
      <c r="N45" s="307"/>
      <c r="O45" s="67" t="str">
        <f>VLOOKUP(D45,숨김!$B$3:$E$300,4,0)</f>
        <v>성취도 5단계+석차등급O</v>
      </c>
    </row>
    <row r="46" spans="1:15" ht="16.5" customHeight="1">
      <c r="A46" s="268"/>
      <c r="B46" s="270"/>
      <c r="C46" s="56" t="str">
        <f>VLOOKUP(D46,숨김!$B$3:$E$300,2,0)</f>
        <v>일반</v>
      </c>
      <c r="D46" s="2" t="s">
        <v>453</v>
      </c>
      <c r="E46" s="53">
        <f>VLOOKUP(D46,숨김!$B$3:$E$300,3,0)</f>
        <v>4</v>
      </c>
      <c r="F46" s="15">
        <v>4</v>
      </c>
      <c r="G46" s="33"/>
      <c r="H46" s="2"/>
      <c r="I46" s="5"/>
      <c r="J46" s="14"/>
      <c r="K46" s="13"/>
      <c r="L46" s="13"/>
      <c r="M46" s="308"/>
      <c r="N46" s="309"/>
      <c r="O46" s="67" t="str">
        <f>VLOOKUP(D46,숨김!$B$3:$E$300,4,0)</f>
        <v>성취도 5단계+석차등급O</v>
      </c>
    </row>
    <row r="47" spans="1:15" ht="16.5" customHeight="1">
      <c r="A47" s="266" t="s">
        <v>43</v>
      </c>
      <c r="B47" s="49" t="s">
        <v>20</v>
      </c>
      <c r="C47" s="56" t="str">
        <f>VLOOKUP(D47,숨김!$B$3:$E$300,2,0)</f>
        <v>진로</v>
      </c>
      <c r="D47" s="2" t="s">
        <v>454</v>
      </c>
      <c r="E47" s="53">
        <f>VLOOKUP(D47,숨김!$B$3:$E$300,3,0)</f>
        <v>4</v>
      </c>
      <c r="F47" s="15">
        <v>4</v>
      </c>
      <c r="G47" s="33"/>
      <c r="H47" s="2"/>
      <c r="I47" s="14"/>
      <c r="J47" s="13">
        <v>4</v>
      </c>
      <c r="K47" s="13"/>
      <c r="L47" s="13"/>
      <c r="M47" s="271">
        <f>SUM(G47:L56)</f>
        <v>12</v>
      </c>
      <c r="N47" s="305"/>
      <c r="O47" s="67" t="str">
        <f>VLOOKUP(D47,숨김!$B$3:$E$300,4,0)</f>
        <v>성취도 5단계+석차등급O</v>
      </c>
    </row>
    <row r="48" spans="1:15" ht="16.5" customHeight="1">
      <c r="A48" s="304"/>
      <c r="B48" s="269" t="s">
        <v>445</v>
      </c>
      <c r="C48" s="56" t="str">
        <f>VLOOKUP(D48,숨김!$B$3:$E$300,2,0)</f>
        <v>일반</v>
      </c>
      <c r="D48" s="2" t="s">
        <v>455</v>
      </c>
      <c r="E48" s="53">
        <f>VLOOKUP(D48,숨김!$B$3:$E$300,3,0)</f>
        <v>4</v>
      </c>
      <c r="F48" s="15">
        <v>4</v>
      </c>
      <c r="G48" s="33"/>
      <c r="H48" s="2"/>
      <c r="I48" s="14"/>
      <c r="J48" s="55">
        <v>4</v>
      </c>
      <c r="K48" s="13"/>
      <c r="L48" s="13"/>
      <c r="M48" s="306"/>
      <c r="N48" s="307"/>
      <c r="O48" s="67" t="str">
        <f>VLOOKUP(D48,숨김!$B$3:$E$300,4,0)</f>
        <v>성취도 5단계+석차등급O</v>
      </c>
    </row>
    <row r="49" spans="1:15" ht="16.5" customHeight="1">
      <c r="A49" s="304"/>
      <c r="B49" s="254"/>
      <c r="C49" s="65" t="str">
        <f>VLOOKUP(D49,숨김!$B$3:$E$300,2,0)</f>
        <v>진로</v>
      </c>
      <c r="D49" s="2" t="s">
        <v>456</v>
      </c>
      <c r="E49" s="53">
        <f>VLOOKUP(D49,숨김!$B$3:$E$300,3,0)</f>
        <v>4</v>
      </c>
      <c r="F49" s="15">
        <v>4</v>
      </c>
      <c r="G49" s="33"/>
      <c r="H49" s="2"/>
      <c r="I49" s="53"/>
      <c r="J49" s="55">
        <v>4</v>
      </c>
      <c r="K49" s="13"/>
      <c r="L49" s="13"/>
      <c r="M49" s="306"/>
      <c r="N49" s="307"/>
      <c r="O49" s="67" t="str">
        <f>VLOOKUP(D49,숨김!$B$3:$E$300,4,0)</f>
        <v>성취도 5단계+석차등급O</v>
      </c>
    </row>
    <row r="50" spans="1:15" ht="16.5" customHeight="1">
      <c r="A50" s="304"/>
      <c r="B50" s="254"/>
      <c r="C50" s="65" t="str">
        <f>VLOOKUP(D50,숨김!$B$3:$E$300,2,0)</f>
        <v>일반</v>
      </c>
      <c r="D50" s="2" t="s">
        <v>457</v>
      </c>
      <c r="E50" s="53">
        <f>VLOOKUP(D50,숨김!$B$3:$E$300,3,0)</f>
        <v>4</v>
      </c>
      <c r="F50" s="15">
        <v>4</v>
      </c>
      <c r="G50" s="33"/>
      <c r="H50" s="2"/>
      <c r="I50" s="53"/>
      <c r="J50" s="55"/>
      <c r="K50" s="13"/>
      <c r="L50" s="13"/>
      <c r="M50" s="306"/>
      <c r="N50" s="307"/>
      <c r="O50" s="67" t="str">
        <f>VLOOKUP(D50,숨김!$B$3:$E$300,4,0)</f>
        <v>성취도 5단계+석차등급O</v>
      </c>
    </row>
    <row r="51" spans="1:15" ht="15.6" customHeight="1">
      <c r="A51" s="304"/>
      <c r="B51" s="310"/>
      <c r="C51" s="56" t="str">
        <f>VLOOKUP(D51,숨김!$B$3:$E$300,2,0)</f>
        <v>융합</v>
      </c>
      <c r="D51" s="2" t="s">
        <v>458</v>
      </c>
      <c r="E51" s="53">
        <f>VLOOKUP(D51,숨김!$B$3:$E$300,3,0)</f>
        <v>4</v>
      </c>
      <c r="F51" s="15">
        <v>4</v>
      </c>
      <c r="G51" s="33"/>
      <c r="H51" s="2"/>
      <c r="I51" s="14"/>
      <c r="J51" s="55"/>
      <c r="K51" s="13"/>
      <c r="L51" s="13"/>
      <c r="M51" s="306"/>
      <c r="N51" s="307"/>
      <c r="O51" s="67" t="str">
        <f>VLOOKUP(D51,숨김!$B$3:$E$300,4,0)</f>
        <v>성취도 5단계+석차등급X</v>
      </c>
    </row>
    <row r="52" spans="1:15" ht="16.5" customHeight="1">
      <c r="A52" s="304"/>
      <c r="B52" s="270"/>
      <c r="C52" s="56" t="str">
        <f>VLOOKUP(D52,숨김!$B$3:$E$300,2,0)</f>
        <v>일반</v>
      </c>
      <c r="D52" s="2" t="s">
        <v>459</v>
      </c>
      <c r="E52" s="53">
        <f>VLOOKUP(D52,숨김!$B$3:$E$300,3,0)</f>
        <v>4</v>
      </c>
      <c r="F52" s="15">
        <v>4</v>
      </c>
      <c r="G52" s="33"/>
      <c r="H52" s="2"/>
      <c r="I52" s="14"/>
      <c r="J52" s="55"/>
      <c r="K52" s="13"/>
      <c r="L52" s="13"/>
      <c r="M52" s="306"/>
      <c r="N52" s="307"/>
      <c r="O52" s="67" t="str">
        <f>VLOOKUP(D52,숨김!$B$3:$E$300,4,0)</f>
        <v>성취도 5단계+석차등급O</v>
      </c>
    </row>
    <row r="53" spans="1:15" ht="16.5" customHeight="1">
      <c r="A53" s="304"/>
      <c r="B53" s="269" t="s">
        <v>449</v>
      </c>
      <c r="C53" s="56" t="str">
        <f>VLOOKUP(D53,숨김!$B$3:$E$300,2,0)</f>
        <v>진로</v>
      </c>
      <c r="D53" s="2" t="s">
        <v>460</v>
      </c>
      <c r="E53" s="53">
        <f>VLOOKUP(D53,숨김!$B$3:$E$300,3,0)</f>
        <v>4</v>
      </c>
      <c r="F53" s="15">
        <v>4</v>
      </c>
      <c r="G53" s="33"/>
      <c r="H53" s="2"/>
      <c r="I53" s="14"/>
      <c r="J53" s="55"/>
      <c r="K53" s="13"/>
      <c r="L53" s="13"/>
      <c r="M53" s="306"/>
      <c r="N53" s="307"/>
      <c r="O53" s="67" t="str">
        <f>VLOOKUP(D53,숨김!$B$3:$E$300,4,0)</f>
        <v>성취도 5단계+석차등급O</v>
      </c>
    </row>
    <row r="54" spans="1:15" ht="16.5" customHeight="1">
      <c r="A54" s="304"/>
      <c r="B54" s="254"/>
      <c r="C54" s="65" t="str">
        <f>VLOOKUP(D54,숨김!$B$3:$E$300,2,0)</f>
        <v>진로</v>
      </c>
      <c r="D54" s="2" t="s">
        <v>461</v>
      </c>
      <c r="E54" s="53">
        <f>VLOOKUP(D54,숨김!$B$3:$E$300,3,0)</f>
        <v>4</v>
      </c>
      <c r="F54" s="15">
        <v>4</v>
      </c>
      <c r="G54" s="33"/>
      <c r="H54" s="2"/>
      <c r="I54" s="53"/>
      <c r="J54" s="55"/>
      <c r="K54" s="13"/>
      <c r="L54" s="13"/>
      <c r="M54" s="306"/>
      <c r="N54" s="307"/>
      <c r="O54" s="67" t="str">
        <f>VLOOKUP(D54,숨김!$B$3:$E$300,4,0)</f>
        <v>성취도 5단계+석차등급O</v>
      </c>
    </row>
    <row r="55" spans="1:15" ht="16.5" customHeight="1">
      <c r="A55" s="304"/>
      <c r="B55" s="310"/>
      <c r="C55" s="56" t="str">
        <f>VLOOKUP(D55,숨김!$B$3:$E$300,2,0)</f>
        <v>진로</v>
      </c>
      <c r="D55" s="2" t="s">
        <v>462</v>
      </c>
      <c r="E55" s="53">
        <f>VLOOKUP(D55,숨김!$B$3:$E$300,3,0)</f>
        <v>4</v>
      </c>
      <c r="F55" s="15">
        <v>4</v>
      </c>
      <c r="G55" s="33"/>
      <c r="H55" s="2"/>
      <c r="I55" s="14"/>
      <c r="J55" s="55"/>
      <c r="K55" s="13"/>
      <c r="L55" s="13"/>
      <c r="M55" s="306"/>
      <c r="N55" s="307"/>
      <c r="O55" s="27" t="str">
        <f>VLOOKUP(D55,숨김!$B$3:$E$300,4,0)</f>
        <v>성취도 5단계+석차등급O</v>
      </c>
    </row>
    <row r="56" spans="1:15" ht="16.5" customHeight="1">
      <c r="A56" s="268"/>
      <c r="B56" s="270"/>
      <c r="C56" s="56" t="str">
        <f>VLOOKUP(D56,숨김!$B$3:$E$300,2,0)</f>
        <v>진로</v>
      </c>
      <c r="D56" s="2" t="s">
        <v>463</v>
      </c>
      <c r="E56" s="53">
        <f>VLOOKUP(D56,숨김!$B$3:$E$300,3,0)</f>
        <v>4</v>
      </c>
      <c r="F56" s="15">
        <v>4</v>
      </c>
      <c r="G56" s="33"/>
      <c r="H56" s="2"/>
      <c r="I56" s="2"/>
      <c r="J56" s="53"/>
      <c r="K56" s="13"/>
      <c r="L56" s="13"/>
      <c r="M56" s="308"/>
      <c r="N56" s="309"/>
      <c r="O56" s="27" t="str">
        <f>VLOOKUP(D56,숨김!$B$3:$E$300,4,0)</f>
        <v>성취도 5단계+석차등급O</v>
      </c>
    </row>
    <row r="57" spans="1:15" ht="16.5" customHeight="1">
      <c r="A57" s="266" t="s">
        <v>44</v>
      </c>
      <c r="B57" s="311" t="s">
        <v>464</v>
      </c>
      <c r="C57" s="56" t="str">
        <f>VLOOKUP(D57,숨김!$B$3:$E$300,2,0)</f>
        <v>일반</v>
      </c>
      <c r="D57" s="53" t="s">
        <v>465</v>
      </c>
      <c r="E57" s="53">
        <f>VLOOKUP(D57,숨김!$B$3:$E$300,3,0)</f>
        <v>4</v>
      </c>
      <c r="F57" s="15">
        <v>3</v>
      </c>
      <c r="G57" s="33"/>
      <c r="H57" s="2"/>
      <c r="I57" s="13">
        <v>3</v>
      </c>
      <c r="J57" s="2"/>
      <c r="K57" s="13"/>
      <c r="L57" s="13"/>
      <c r="M57" s="271">
        <f>SUM(G57:L58)</f>
        <v>3</v>
      </c>
      <c r="N57" s="305"/>
      <c r="O57" s="27" t="str">
        <f>VLOOKUP(D57,숨김!$B$3:$E$300,4,0)</f>
        <v>성취도 5단계+석차등급O</v>
      </c>
    </row>
    <row r="58" spans="1:15" ht="16.5" customHeight="1">
      <c r="A58" s="268"/>
      <c r="B58" s="312"/>
      <c r="C58" s="56" t="str">
        <f>VLOOKUP(D58,숨김!$B$3:$E$300,2,0)</f>
        <v>일반</v>
      </c>
      <c r="D58" s="53" t="s">
        <v>466</v>
      </c>
      <c r="E58" s="53">
        <f>VLOOKUP(D58,숨김!$B$3:$E$300,3,0)</f>
        <v>4</v>
      </c>
      <c r="F58" s="15">
        <v>3</v>
      </c>
      <c r="G58" s="33"/>
      <c r="H58" s="2"/>
      <c r="I58" s="53"/>
      <c r="J58" s="2"/>
      <c r="K58" s="13"/>
      <c r="L58" s="13"/>
      <c r="M58" s="306"/>
      <c r="N58" s="307"/>
      <c r="O58" s="27" t="str">
        <f>VLOOKUP(D58,숨김!$B$3:$E$300,4,0)</f>
        <v>성취도 5단계+석차등급O</v>
      </c>
    </row>
    <row r="59" spans="1:15" ht="16.5" customHeight="1">
      <c r="A59" s="266" t="s">
        <v>45</v>
      </c>
      <c r="B59" s="311" t="s">
        <v>464</v>
      </c>
      <c r="C59" s="56" t="str">
        <f>VLOOKUP(D59,숨김!$B$3:$E$300,2,0)</f>
        <v>진로</v>
      </c>
      <c r="D59" s="53" t="s">
        <v>467</v>
      </c>
      <c r="E59" s="53">
        <f>VLOOKUP(D59,숨김!$B$3:$E$300,3,0)</f>
        <v>4</v>
      </c>
      <c r="F59" s="15">
        <v>3</v>
      </c>
      <c r="G59" s="33"/>
      <c r="H59" s="2"/>
      <c r="I59" s="2"/>
      <c r="J59" s="13">
        <v>3</v>
      </c>
      <c r="K59" s="13"/>
      <c r="L59" s="13"/>
      <c r="M59" s="271">
        <f>SUM(G59:L60)</f>
        <v>3</v>
      </c>
      <c r="N59" s="305"/>
      <c r="O59" s="27" t="str">
        <f>VLOOKUP(D59,숨김!$B$3:$E$300,4,0)</f>
        <v>성취도 5단계+석차등급O</v>
      </c>
    </row>
    <row r="60" spans="1:15" ht="16.5" customHeight="1">
      <c r="A60" s="268"/>
      <c r="B60" s="312"/>
      <c r="C60" s="56" t="str">
        <f>VLOOKUP(D60,숨김!$B$3:$E$300,2,0)</f>
        <v>진로</v>
      </c>
      <c r="D60" s="53" t="s">
        <v>468</v>
      </c>
      <c r="E60" s="53">
        <f>VLOOKUP(D60,숨김!$B$3:$E$300,3,0)</f>
        <v>4</v>
      </c>
      <c r="F60" s="15">
        <v>3</v>
      </c>
      <c r="G60" s="33"/>
      <c r="H60" s="2"/>
      <c r="I60" s="2"/>
      <c r="J60" s="75"/>
      <c r="K60" s="13"/>
      <c r="L60" s="13"/>
      <c r="M60" s="306"/>
      <c r="N60" s="307"/>
      <c r="O60" s="27" t="str">
        <f>VLOOKUP(D60,숨김!$B$3:$E$300,4,0)</f>
        <v>성취도 5단계+석차등급O</v>
      </c>
    </row>
    <row r="61" spans="1:15" ht="16.5" customHeight="1">
      <c r="A61" s="266" t="s">
        <v>46</v>
      </c>
      <c r="B61" s="49" t="s">
        <v>20</v>
      </c>
      <c r="C61" s="56" t="str">
        <f>VLOOKUP(D61,숨김!$B$3:$E$300,2,0)</f>
        <v>진로</v>
      </c>
      <c r="D61" s="2" t="s">
        <v>469</v>
      </c>
      <c r="E61" s="53">
        <f>VLOOKUP(D61,숨김!$B$3:$E$300,3,0)</f>
        <v>4</v>
      </c>
      <c r="F61" s="15">
        <v>3</v>
      </c>
      <c r="G61" s="33"/>
      <c r="H61" s="2"/>
      <c r="I61" s="2"/>
      <c r="J61" s="2"/>
      <c r="K61" s="13">
        <v>3</v>
      </c>
      <c r="L61" s="2"/>
      <c r="M61" s="271">
        <f>SUM(G61:L75)</f>
        <v>9</v>
      </c>
      <c r="N61" s="272"/>
      <c r="O61" s="27" t="str">
        <f>VLOOKUP(D61,숨김!$B$3:$E$300,4,0)</f>
        <v>성취도 5단계+석차등급O</v>
      </c>
    </row>
    <row r="62" spans="1:15" ht="16.5" customHeight="1">
      <c r="A62" s="304"/>
      <c r="B62" s="269" t="s">
        <v>445</v>
      </c>
      <c r="C62" s="56" t="str">
        <f>VLOOKUP(D62,숨김!$B$3:$E$300,2,0)</f>
        <v>융합</v>
      </c>
      <c r="D62" s="2" t="s">
        <v>470</v>
      </c>
      <c r="E62" s="53">
        <f>VLOOKUP(D62,숨김!$B$3:$E$300,3,0)</f>
        <v>4</v>
      </c>
      <c r="F62" s="15">
        <v>3</v>
      </c>
      <c r="G62" s="33"/>
      <c r="H62" s="2"/>
      <c r="I62" s="2"/>
      <c r="J62" s="2"/>
      <c r="K62" s="55">
        <v>3</v>
      </c>
      <c r="L62" s="2"/>
      <c r="M62" s="313"/>
      <c r="N62" s="274"/>
      <c r="O62" s="27" t="str">
        <f>VLOOKUP(D62,숨김!$B$3:$E$300,4,0)</f>
        <v>성취도 5단계+석차등급X</v>
      </c>
    </row>
    <row r="63" spans="1:15" ht="16.5" customHeight="1">
      <c r="A63" s="304"/>
      <c r="B63" s="254"/>
      <c r="C63" s="65" t="str">
        <f>VLOOKUP(D63,숨김!$B$3:$E$300,2,0)</f>
        <v>진로</v>
      </c>
      <c r="D63" s="2" t="s">
        <v>471</v>
      </c>
      <c r="E63" s="53">
        <f>VLOOKUP(D63,숨김!$B$3:$E$300,3,0)</f>
        <v>4</v>
      </c>
      <c r="F63" s="15">
        <v>3</v>
      </c>
      <c r="G63" s="33"/>
      <c r="H63" s="2"/>
      <c r="I63" s="2"/>
      <c r="J63" s="2"/>
      <c r="K63" s="55">
        <v>3</v>
      </c>
      <c r="L63" s="2"/>
      <c r="M63" s="313"/>
      <c r="N63" s="274"/>
      <c r="O63" s="67" t="str">
        <f>VLOOKUP(D63,숨김!$B$3:$E$300,4,0)</f>
        <v>성취도 5단계+석차등급O</v>
      </c>
    </row>
    <row r="64" spans="1:15" ht="16.2" customHeight="1">
      <c r="A64" s="304"/>
      <c r="B64" s="254"/>
      <c r="C64" s="65" t="str">
        <f>VLOOKUP(D64,숨김!$B$3:$E$300,2,0)</f>
        <v>진로</v>
      </c>
      <c r="D64" s="2" t="s">
        <v>472</v>
      </c>
      <c r="E64" s="53">
        <f>VLOOKUP(D64,숨김!$B$3:$E$300,3,0)</f>
        <v>4</v>
      </c>
      <c r="F64" s="15">
        <v>3</v>
      </c>
      <c r="G64" s="33"/>
      <c r="H64" s="2"/>
      <c r="I64" s="2"/>
      <c r="J64" s="2"/>
      <c r="K64" s="55"/>
      <c r="L64" s="2"/>
      <c r="M64" s="313"/>
      <c r="N64" s="274"/>
      <c r="O64" s="67" t="str">
        <f>VLOOKUP(D64,숨김!$B$3:$E$300,4,0)</f>
        <v>성취도 5단계+석차등급O</v>
      </c>
    </row>
    <row r="65" spans="1:15" ht="16.2" customHeight="1">
      <c r="A65" s="304"/>
      <c r="B65" s="310"/>
      <c r="C65" s="56" t="str">
        <f>VLOOKUP(D65,숨김!$B$3:$E$300,2,0)</f>
        <v>융합</v>
      </c>
      <c r="D65" s="2" t="s">
        <v>473</v>
      </c>
      <c r="E65" s="53">
        <f>VLOOKUP(D65,숨김!$B$3:$E$300,3,0)</f>
        <v>4</v>
      </c>
      <c r="F65" s="15">
        <v>3</v>
      </c>
      <c r="G65" s="33"/>
      <c r="H65" s="2"/>
      <c r="I65" s="2"/>
      <c r="J65" s="2"/>
      <c r="K65" s="55"/>
      <c r="L65" s="2"/>
      <c r="M65" s="313"/>
      <c r="N65" s="274"/>
      <c r="O65" s="67" t="str">
        <f>VLOOKUP(D65,숨김!$B$3:$E$300,4,0)</f>
        <v>성취도 5단계+석차등급X</v>
      </c>
    </row>
    <row r="66" spans="1:15" ht="16.5" customHeight="1">
      <c r="A66" s="304"/>
      <c r="B66" s="270"/>
      <c r="C66" s="56" t="str">
        <f>VLOOKUP(D66,숨김!$B$3:$E$300,2,0)</f>
        <v>진로</v>
      </c>
      <c r="D66" s="2" t="s">
        <v>474</v>
      </c>
      <c r="E66" s="53">
        <f>VLOOKUP(D66,숨김!$B$3:$E$300,3,0)</f>
        <v>4</v>
      </c>
      <c r="F66" s="15">
        <v>3</v>
      </c>
      <c r="G66" s="33"/>
      <c r="H66" s="2"/>
      <c r="I66" s="2"/>
      <c r="J66" s="2"/>
      <c r="K66" s="55"/>
      <c r="L66" s="2"/>
      <c r="M66" s="313"/>
      <c r="N66" s="274"/>
      <c r="O66" s="67" t="str">
        <f>VLOOKUP(D66,숨김!$B$3:$E$300,4,0)</f>
        <v>성취도 5단계+석차등급O</v>
      </c>
    </row>
    <row r="67" spans="1:15" ht="16.2" customHeight="1">
      <c r="A67" s="304"/>
      <c r="B67" s="269" t="s">
        <v>449</v>
      </c>
      <c r="C67" s="56" t="str">
        <f>VLOOKUP(D67,숨김!$B$3:$E$300,2,0)</f>
        <v>진로</v>
      </c>
      <c r="D67" s="2" t="s">
        <v>475</v>
      </c>
      <c r="E67" s="53">
        <f>VLOOKUP(D67,숨김!$B$3:$E$300,3,0)</f>
        <v>4</v>
      </c>
      <c r="F67" s="15">
        <v>3</v>
      </c>
      <c r="G67" s="33"/>
      <c r="H67" s="2"/>
      <c r="I67" s="2"/>
      <c r="J67" s="2"/>
      <c r="K67" s="55"/>
      <c r="L67" s="2"/>
      <c r="M67" s="313"/>
      <c r="N67" s="274"/>
      <c r="O67" s="67" t="str">
        <f>VLOOKUP(D67,숨김!$B$3:$E$300,4,0)</f>
        <v>성취도 5단계+석차등급O</v>
      </c>
    </row>
    <row r="68" spans="1:15" ht="16.2" customHeight="1">
      <c r="A68" s="304"/>
      <c r="B68" s="254"/>
      <c r="C68" s="65" t="str">
        <f>VLOOKUP(D68,숨김!$B$3:$E$300,2,0)</f>
        <v>진로</v>
      </c>
      <c r="D68" s="2" t="s">
        <v>476</v>
      </c>
      <c r="E68" s="53">
        <f>VLOOKUP(D68,숨김!$B$3:$E$300,3,0)</f>
        <v>4</v>
      </c>
      <c r="F68" s="15">
        <v>3</v>
      </c>
      <c r="G68" s="33"/>
      <c r="H68" s="2"/>
      <c r="I68" s="2"/>
      <c r="J68" s="2"/>
      <c r="K68" s="55"/>
      <c r="L68" s="2"/>
      <c r="M68" s="313"/>
      <c r="N68" s="274"/>
      <c r="O68" s="67" t="str">
        <f>VLOOKUP(D68,숨김!$B$3:$E$300,4,0)</f>
        <v>성취도 5단계+석차등급O</v>
      </c>
    </row>
    <row r="69" spans="1:15" ht="16.2" customHeight="1">
      <c r="A69" s="304"/>
      <c r="B69" s="254"/>
      <c r="C69" s="65" t="str">
        <f>VLOOKUP(D69,숨김!$B$3:$E$300,2,0)</f>
        <v>진로</v>
      </c>
      <c r="D69" s="2" t="s">
        <v>477</v>
      </c>
      <c r="E69" s="53">
        <f>VLOOKUP(D69,숨김!$B$3:$E$300,3,0)</f>
        <v>4</v>
      </c>
      <c r="F69" s="15">
        <v>3</v>
      </c>
      <c r="G69" s="33"/>
      <c r="H69" s="2"/>
      <c r="I69" s="2"/>
      <c r="J69" s="2"/>
      <c r="K69" s="55"/>
      <c r="L69" s="2"/>
      <c r="M69" s="313"/>
      <c r="N69" s="274"/>
      <c r="O69" s="67" t="str">
        <f>VLOOKUP(D69,숨김!$B$3:$E$300,4,0)</f>
        <v>성취도 5단계+석차등급O</v>
      </c>
    </row>
    <row r="70" spans="1:15" ht="16.2" customHeight="1">
      <c r="A70" s="304"/>
      <c r="B70" s="254"/>
      <c r="C70" s="186" t="s">
        <v>37</v>
      </c>
      <c r="D70" s="2" t="s">
        <v>478</v>
      </c>
      <c r="E70" s="184">
        <v>4</v>
      </c>
      <c r="F70" s="185">
        <v>3</v>
      </c>
      <c r="G70" s="33"/>
      <c r="H70" s="2"/>
      <c r="I70" s="2"/>
      <c r="J70" s="2"/>
      <c r="K70" s="183"/>
      <c r="L70" s="2"/>
      <c r="M70" s="313"/>
      <c r="N70" s="274"/>
      <c r="O70" s="187" t="s">
        <v>17</v>
      </c>
    </row>
    <row r="71" spans="1:15" ht="16.2" customHeight="1">
      <c r="A71" s="304"/>
      <c r="B71" s="270"/>
      <c r="C71" s="56" t="s">
        <v>38</v>
      </c>
      <c r="D71" s="2" t="s">
        <v>504</v>
      </c>
      <c r="E71" s="53">
        <f>VLOOKUP(D71,숨김!$B$3:$E$300,3,0)</f>
        <v>4</v>
      </c>
      <c r="F71" s="15">
        <v>3</v>
      </c>
      <c r="G71" s="33"/>
      <c r="H71" s="2"/>
      <c r="I71" s="2"/>
      <c r="J71" s="2"/>
      <c r="K71" s="55"/>
      <c r="L71" s="2"/>
      <c r="M71" s="313"/>
      <c r="N71" s="274"/>
      <c r="O71" s="67" t="str">
        <f>VLOOKUP(D71,숨김!$B$3:$E$300,4,0)</f>
        <v>성취도 5단계+석차등급X</v>
      </c>
    </row>
    <row r="72" spans="1:15" ht="16.5" customHeight="1">
      <c r="A72" s="304"/>
      <c r="B72" s="2" t="s">
        <v>39</v>
      </c>
      <c r="C72" s="56" t="str">
        <f>VLOOKUP(D72,숨김!$B$3:$E$300,2,0)</f>
        <v>융합</v>
      </c>
      <c r="D72" s="53" t="s">
        <v>479</v>
      </c>
      <c r="E72" s="53">
        <f>VLOOKUP(D72,숨김!$B$3:$E$300,3,0)</f>
        <v>4</v>
      </c>
      <c r="F72" s="15">
        <v>3</v>
      </c>
      <c r="G72" s="33"/>
      <c r="H72" s="2"/>
      <c r="I72" s="2"/>
      <c r="J72" s="2"/>
      <c r="K72" s="55"/>
      <c r="L72" s="2"/>
      <c r="M72" s="313"/>
      <c r="N72" s="274"/>
      <c r="O72" s="67" t="str">
        <f>VLOOKUP(D72,숨김!$B$3:$E$300,4,0)</f>
        <v>성취도 5단계+석차등급O</v>
      </c>
    </row>
    <row r="73" spans="1:15" ht="16.5" customHeight="1">
      <c r="A73" s="304"/>
      <c r="B73" s="2" t="s">
        <v>40</v>
      </c>
      <c r="C73" s="56" t="str">
        <f>VLOOKUP(D73,숨김!$B$3:$E$300,2,0)</f>
        <v>진로</v>
      </c>
      <c r="D73" s="53" t="s">
        <v>480</v>
      </c>
      <c r="E73" s="53">
        <f>VLOOKUP(D73,숨김!$B$3:$E$300,3,0)</f>
        <v>4</v>
      </c>
      <c r="F73" s="15">
        <v>3</v>
      </c>
      <c r="G73" s="33"/>
      <c r="H73" s="2"/>
      <c r="I73" s="2"/>
      <c r="J73" s="2"/>
      <c r="K73" s="55"/>
      <c r="L73" s="2"/>
      <c r="M73" s="313"/>
      <c r="N73" s="274"/>
      <c r="O73" s="67" t="str">
        <f>VLOOKUP(D73,숨김!$B$3:$E$300,4,0)</f>
        <v>성취도 5단계+석차등급O</v>
      </c>
    </row>
    <row r="74" spans="1:15" ht="16.5" customHeight="1">
      <c r="A74" s="304"/>
      <c r="B74" s="253" t="s">
        <v>464</v>
      </c>
      <c r="C74" s="56" t="str">
        <f>VLOOKUP(D74,숨김!$B$3:$E$300,2,0)</f>
        <v>융합</v>
      </c>
      <c r="D74" s="53" t="s">
        <v>481</v>
      </c>
      <c r="E74" s="53">
        <f>VLOOKUP(D74,숨김!$B$3:$E$300,3,0)</f>
        <v>4</v>
      </c>
      <c r="F74" s="15">
        <v>3</v>
      </c>
      <c r="G74" s="33"/>
      <c r="H74" s="2"/>
      <c r="I74" s="2"/>
      <c r="J74" s="2"/>
      <c r="K74" s="55"/>
      <c r="L74" s="2"/>
      <c r="M74" s="313"/>
      <c r="N74" s="274"/>
      <c r="O74" s="67" t="str">
        <f>VLOOKUP(D74,숨김!$B$3:$E$300,4,0)</f>
        <v>성취도 5단계+석차등급O</v>
      </c>
    </row>
    <row r="75" spans="1:15" ht="16.5" customHeight="1">
      <c r="A75" s="268"/>
      <c r="B75" s="255"/>
      <c r="C75" s="56" t="str">
        <f>VLOOKUP(D75,숨김!$B$3:$E$300,2,0)</f>
        <v>융합</v>
      </c>
      <c r="D75" s="2" t="s">
        <v>482</v>
      </c>
      <c r="E75" s="53">
        <f>VLOOKUP(D75,숨김!$B$3:$E$300,3,0)</f>
        <v>4</v>
      </c>
      <c r="F75" s="15">
        <v>3</v>
      </c>
      <c r="G75" s="33"/>
      <c r="H75" s="2"/>
      <c r="I75" s="2"/>
      <c r="J75" s="2"/>
      <c r="K75" s="53"/>
      <c r="L75" s="2"/>
      <c r="M75" s="292"/>
      <c r="N75" s="293"/>
      <c r="O75" s="67" t="str">
        <f>VLOOKUP(D75,숨김!$B$3:$E$300,4,0)</f>
        <v>성취도 5단계+석차등급O</v>
      </c>
    </row>
    <row r="76" spans="1:15" ht="16.5" customHeight="1">
      <c r="A76" s="266" t="s">
        <v>48</v>
      </c>
      <c r="B76" s="269" t="s">
        <v>483</v>
      </c>
      <c r="C76" s="56" t="str">
        <f>VLOOKUP(D76,숨김!$B$3:$E$300,2,0)</f>
        <v>진로</v>
      </c>
      <c r="D76" s="2" t="s">
        <v>485</v>
      </c>
      <c r="E76" s="53">
        <f>VLOOKUP(D76,숨김!$B$3:$E$300,3,0)</f>
        <v>3</v>
      </c>
      <c r="F76" s="15">
        <v>3</v>
      </c>
      <c r="G76" s="33"/>
      <c r="H76" s="2"/>
      <c r="I76" s="2"/>
      <c r="J76" s="2"/>
      <c r="K76" s="13">
        <v>3</v>
      </c>
      <c r="L76" s="2"/>
      <c r="M76" s="271">
        <f>SUM(G76:L77)</f>
        <v>3</v>
      </c>
      <c r="N76" s="272"/>
      <c r="O76" s="67" t="str">
        <f>VLOOKUP(D76,숨김!$B$3:$E$300,4,0)</f>
        <v>성취도 3단계</v>
      </c>
    </row>
    <row r="77" spans="1:15" ht="16.5" customHeight="1">
      <c r="A77" s="268"/>
      <c r="B77" s="270"/>
      <c r="C77" s="56" t="str">
        <f>VLOOKUP(D77,숨김!$B$3:$E$300,2,0)</f>
        <v>융합</v>
      </c>
      <c r="D77" s="2" t="s">
        <v>486</v>
      </c>
      <c r="E77" s="53">
        <f>VLOOKUP(D77,숨김!$B$3:$E$300,3,0)</f>
        <v>3</v>
      </c>
      <c r="F77" s="15">
        <v>3</v>
      </c>
      <c r="G77" s="33"/>
      <c r="H77" s="2"/>
      <c r="I77" s="2"/>
      <c r="J77" s="2"/>
      <c r="K77" s="53"/>
      <c r="L77" s="2"/>
      <c r="M77" s="292"/>
      <c r="N77" s="293"/>
      <c r="O77" s="67" t="str">
        <f>VLOOKUP(D77,숨김!$B$3:$E$300,4,0)</f>
        <v>성취도 3단계</v>
      </c>
    </row>
    <row r="78" spans="1:15" ht="16.5" customHeight="1">
      <c r="A78" s="266" t="s">
        <v>49</v>
      </c>
      <c r="B78" s="269" t="s">
        <v>484</v>
      </c>
      <c r="C78" s="56" t="str">
        <f>VLOOKUP(D78,숨김!$B$3:$E$300,2,0)</f>
        <v>진로</v>
      </c>
      <c r="D78" s="13" t="s">
        <v>487</v>
      </c>
      <c r="E78" s="53">
        <f>VLOOKUP(D78,숨김!$B$3:$E$300,3,0)</f>
        <v>3</v>
      </c>
      <c r="F78" s="15">
        <v>2</v>
      </c>
      <c r="G78" s="33"/>
      <c r="H78" s="2"/>
      <c r="I78" s="2"/>
      <c r="J78" s="2"/>
      <c r="K78" s="13">
        <v>2</v>
      </c>
      <c r="L78" s="6"/>
      <c r="M78" s="271">
        <f>SUM(G78:L80)</f>
        <v>2</v>
      </c>
      <c r="N78" s="272"/>
      <c r="O78" s="67" t="str">
        <f>VLOOKUP(D78,숨김!$B$3:$E$300,4,0)</f>
        <v>이수/미이수</v>
      </c>
    </row>
    <row r="79" spans="1:15" ht="16.5" customHeight="1">
      <c r="A79" s="267"/>
      <c r="B79" s="254"/>
      <c r="C79" s="65" t="str">
        <f>VLOOKUP(D79,숨김!$B$3:$E$300,2,0)</f>
        <v>일반</v>
      </c>
      <c r="D79" s="13" t="s">
        <v>488</v>
      </c>
      <c r="E79" s="53">
        <f>VLOOKUP(D79,숨김!$B$3:$E$300,3,0)</f>
        <v>3</v>
      </c>
      <c r="F79" s="15">
        <v>2</v>
      </c>
      <c r="G79" s="33"/>
      <c r="H79" s="2"/>
      <c r="I79" s="13"/>
      <c r="J79" s="13"/>
      <c r="K79" s="55"/>
      <c r="L79" s="69"/>
      <c r="M79" s="273"/>
      <c r="N79" s="274"/>
      <c r="O79" s="67" t="str">
        <f>VLOOKUP(D79,숨김!$B$3:$E$300,4,0)</f>
        <v>이수/미이수</v>
      </c>
    </row>
    <row r="80" spans="1:15" ht="16.5" customHeight="1">
      <c r="A80" s="268"/>
      <c r="B80" s="270"/>
      <c r="C80" s="56" t="str">
        <f>VLOOKUP(D80,숨김!$B$3:$E$300,2,0)</f>
        <v>진로</v>
      </c>
      <c r="D80" s="13" t="s">
        <v>489</v>
      </c>
      <c r="E80" s="53">
        <f>VLOOKUP(D80,숨김!$B$3:$E$300,3,0)</f>
        <v>3</v>
      </c>
      <c r="F80" s="15">
        <v>2</v>
      </c>
      <c r="G80" s="33"/>
      <c r="H80" s="2"/>
      <c r="I80" s="13"/>
      <c r="J80" s="13"/>
      <c r="K80" s="53"/>
      <c r="L80" s="7"/>
      <c r="M80" s="292"/>
      <c r="N80" s="293"/>
      <c r="O80" s="27" t="str">
        <f>VLOOKUP(D80,숨김!$B$3:$E$300,4,0)</f>
        <v>이수/미이수</v>
      </c>
    </row>
    <row r="81" spans="1:15" ht="16.5" customHeight="1">
      <c r="A81" s="294" t="s">
        <v>51</v>
      </c>
      <c r="B81" s="269" t="s">
        <v>14</v>
      </c>
      <c r="C81" s="56" t="str">
        <f>VLOOKUP(D81,숨김!$B$3:$E$300,2,0)</f>
        <v>진로</v>
      </c>
      <c r="D81" s="2" t="s">
        <v>490</v>
      </c>
      <c r="E81" s="53">
        <f>VLOOKUP(D81,숨김!$B$3:$E$300,3,0)</f>
        <v>4</v>
      </c>
      <c r="F81" s="15">
        <v>4</v>
      </c>
      <c r="G81" s="33"/>
      <c r="H81" s="2"/>
      <c r="I81" s="13"/>
      <c r="J81" s="13"/>
      <c r="K81" s="2"/>
      <c r="L81" s="13">
        <v>4</v>
      </c>
      <c r="M81" s="271">
        <f>SUM(G81:L86)</f>
        <v>12</v>
      </c>
      <c r="N81" s="297"/>
      <c r="O81" s="27" t="str">
        <f>VLOOKUP(D81,숨김!$B$3:$E$300,4,0)</f>
        <v>성취도 5단계+석차등급O</v>
      </c>
    </row>
    <row r="82" spans="1:15" ht="16.5" customHeight="1">
      <c r="A82" s="295"/>
      <c r="B82" s="270"/>
      <c r="C82" s="56" t="str">
        <f>VLOOKUP(D82,숨김!$B$3:$E$300,2,0)</f>
        <v>진로</v>
      </c>
      <c r="D82" s="2" t="s">
        <v>491</v>
      </c>
      <c r="E82" s="53">
        <f>VLOOKUP(D82,숨김!$B$3:$E$300,3,0)</f>
        <v>4</v>
      </c>
      <c r="F82" s="15">
        <v>4</v>
      </c>
      <c r="G82" s="33"/>
      <c r="H82" s="2"/>
      <c r="I82" s="13"/>
      <c r="J82" s="13"/>
      <c r="K82" s="2"/>
      <c r="L82" s="55">
        <v>4</v>
      </c>
      <c r="M82" s="273"/>
      <c r="N82" s="298"/>
      <c r="O82" s="27" t="str">
        <f>VLOOKUP(D82,숨김!$B$3:$E$300,4,0)</f>
        <v>성취도 5단계+석차등급O</v>
      </c>
    </row>
    <row r="83" spans="1:15" ht="16.5" customHeight="1">
      <c r="A83" s="295"/>
      <c r="B83" s="269" t="s">
        <v>20</v>
      </c>
      <c r="C83" s="56" t="str">
        <f>VLOOKUP(D83,숨김!$B$3:$E$300,2,0)</f>
        <v>융합</v>
      </c>
      <c r="D83" s="2" t="s">
        <v>492</v>
      </c>
      <c r="E83" s="53">
        <f>VLOOKUP(D83,숨김!$B$3:$E$300,3,0)</f>
        <v>4</v>
      </c>
      <c r="F83" s="15">
        <v>4</v>
      </c>
      <c r="G83" s="33"/>
      <c r="H83" s="2"/>
      <c r="I83" s="13"/>
      <c r="J83" s="13"/>
      <c r="K83" s="2"/>
      <c r="L83" s="55">
        <v>4</v>
      </c>
      <c r="M83" s="273"/>
      <c r="N83" s="298"/>
      <c r="O83" s="27" t="str">
        <f>VLOOKUP(D83,숨김!$B$3:$E$300,4,0)</f>
        <v>성취도 5단계+석차등급O</v>
      </c>
    </row>
    <row r="84" spans="1:15" ht="16.5" customHeight="1">
      <c r="A84" s="295"/>
      <c r="B84" s="270"/>
      <c r="C84" s="56" t="str">
        <f>VLOOKUP(D84,숨김!$B$3:$E$300,2,0)</f>
        <v>융합</v>
      </c>
      <c r="D84" s="2" t="s">
        <v>493</v>
      </c>
      <c r="E84" s="53">
        <f>VLOOKUP(D84,숨김!$B$3:$E$300,3,0)</f>
        <v>4</v>
      </c>
      <c r="F84" s="15">
        <v>4</v>
      </c>
      <c r="G84" s="33"/>
      <c r="H84" s="2"/>
      <c r="I84" s="13"/>
      <c r="J84" s="13"/>
      <c r="K84" s="2"/>
      <c r="L84" s="55"/>
      <c r="M84" s="273"/>
      <c r="N84" s="298"/>
      <c r="O84" s="27" t="str">
        <f>VLOOKUP(D84,숨김!$B$3:$E$300,4,0)</f>
        <v>성취도 5단계+석차등급O</v>
      </c>
    </row>
    <row r="85" spans="1:15" ht="16.5" customHeight="1">
      <c r="A85" s="295"/>
      <c r="B85" s="269" t="s">
        <v>23</v>
      </c>
      <c r="C85" s="56" t="str">
        <f>VLOOKUP(D85,숨김!$B$3:$E$300,2,0)</f>
        <v>진로</v>
      </c>
      <c r="D85" s="2" t="s">
        <v>494</v>
      </c>
      <c r="E85" s="53">
        <f>VLOOKUP(D85,숨김!$B$3:$E$300,3,0)</f>
        <v>4</v>
      </c>
      <c r="F85" s="15">
        <v>4</v>
      </c>
      <c r="G85" s="33"/>
      <c r="H85" s="2"/>
      <c r="I85" s="13"/>
      <c r="J85" s="13"/>
      <c r="K85" s="2"/>
      <c r="L85" s="55"/>
      <c r="M85" s="273"/>
      <c r="N85" s="298"/>
      <c r="O85" s="27" t="str">
        <f>VLOOKUP(D85,숨김!$B$3:$E$300,4,0)</f>
        <v>성취도 5단계+석차등급O</v>
      </c>
    </row>
    <row r="86" spans="1:15" ht="16.5" customHeight="1">
      <c r="A86" s="296"/>
      <c r="B86" s="270"/>
      <c r="C86" s="56" t="str">
        <f>VLOOKUP(D86,숨김!$B$3:$E$300,2,0)</f>
        <v>융합</v>
      </c>
      <c r="D86" s="2" t="s">
        <v>495</v>
      </c>
      <c r="E86" s="53">
        <f>VLOOKUP(D86,숨김!$B$3:$E$300,3,0)</f>
        <v>4</v>
      </c>
      <c r="F86" s="15">
        <v>4</v>
      </c>
      <c r="G86" s="33"/>
      <c r="H86" s="2"/>
      <c r="I86" s="13"/>
      <c r="J86" s="13"/>
      <c r="K86" s="2"/>
      <c r="L86" s="53"/>
      <c r="M86" s="299"/>
      <c r="N86" s="300"/>
      <c r="O86" s="27" t="str">
        <f>VLOOKUP(D86,숨김!$B$3:$E$300,4,0)</f>
        <v>성취도 5단계+석차등급O</v>
      </c>
    </row>
    <row r="87" spans="1:15" ht="16.5" customHeight="1">
      <c r="A87" s="266" t="s">
        <v>496</v>
      </c>
      <c r="B87" s="301" t="s">
        <v>445</v>
      </c>
      <c r="C87" s="56" t="str">
        <f>VLOOKUP(D87,숨김!$B$3:$E$300,2,0)</f>
        <v>진로</v>
      </c>
      <c r="D87" s="2" t="s">
        <v>499</v>
      </c>
      <c r="E87" s="53">
        <f>VLOOKUP(D87,숨김!$B$3:$E$300,3,0)</f>
        <v>4</v>
      </c>
      <c r="F87" s="15">
        <v>3</v>
      </c>
      <c r="G87" s="33"/>
      <c r="H87" s="2"/>
      <c r="I87" s="13"/>
      <c r="J87" s="13"/>
      <c r="K87" s="2"/>
      <c r="L87" s="13">
        <v>3</v>
      </c>
      <c r="M87" s="271">
        <f>SUM(G87:L95)</f>
        <v>9</v>
      </c>
      <c r="N87" s="297"/>
      <c r="O87" s="27" t="str">
        <f>VLOOKUP(D87,숨김!$B$3:$E$300,4,0)</f>
        <v>성취도 5단계+석차등급O</v>
      </c>
    </row>
    <row r="88" spans="1:15" ht="16.5" customHeight="1">
      <c r="A88" s="267"/>
      <c r="B88" s="302"/>
      <c r="C88" s="56" t="str">
        <f>VLOOKUP(D88,숨김!$B$3:$E$300,2,0)</f>
        <v>융합</v>
      </c>
      <c r="D88" s="2" t="s">
        <v>500</v>
      </c>
      <c r="E88" s="53">
        <f>VLOOKUP(D88,숨김!$B$3:$E$300,3,0)</f>
        <v>4</v>
      </c>
      <c r="F88" s="15">
        <v>3</v>
      </c>
      <c r="G88" s="33"/>
      <c r="H88" s="2"/>
      <c r="I88" s="13"/>
      <c r="J88" s="13"/>
      <c r="K88" s="2"/>
      <c r="L88" s="55">
        <v>3</v>
      </c>
      <c r="M88" s="273"/>
      <c r="N88" s="298"/>
      <c r="O88" s="27" t="str">
        <f>VLOOKUP(D88,숨김!$B$3:$E$300,4,0)</f>
        <v>성취도 5단계+석차등급X</v>
      </c>
    </row>
    <row r="89" spans="1:15" ht="16.5" customHeight="1">
      <c r="A89" s="267"/>
      <c r="B89" s="303"/>
      <c r="C89" s="56" t="str">
        <f>VLOOKUP(D89,숨김!$B$3:$E$300,2,0)</f>
        <v>진로</v>
      </c>
      <c r="D89" s="2" t="s">
        <v>501</v>
      </c>
      <c r="E89" s="53">
        <f>VLOOKUP(D89,숨김!$B$3:$E$300,3,0)</f>
        <v>4</v>
      </c>
      <c r="F89" s="15">
        <v>3</v>
      </c>
      <c r="G89" s="33"/>
      <c r="H89" s="2"/>
      <c r="I89" s="13"/>
      <c r="J89" s="13"/>
      <c r="K89" s="2"/>
      <c r="L89" s="55">
        <v>3</v>
      </c>
      <c r="M89" s="273"/>
      <c r="N89" s="298"/>
      <c r="O89" s="27" t="str">
        <f>VLOOKUP(D89,숨김!$B$3:$E$300,4,0)</f>
        <v>성취도 5단계+석차등급O</v>
      </c>
    </row>
    <row r="90" spans="1:15" ht="16.5" customHeight="1">
      <c r="A90" s="267"/>
      <c r="B90" s="253" t="s">
        <v>449</v>
      </c>
      <c r="C90" s="56" t="str">
        <f>VLOOKUP(D90,숨김!$B$3:$E$300,2,0)</f>
        <v>융합</v>
      </c>
      <c r="D90" s="2" t="s">
        <v>502</v>
      </c>
      <c r="E90" s="53">
        <f>VLOOKUP(D90,숨김!$B$3:$E$300,3,0)</f>
        <v>4</v>
      </c>
      <c r="F90" s="15">
        <v>3</v>
      </c>
      <c r="G90" s="33"/>
      <c r="H90" s="2"/>
      <c r="I90" s="13"/>
      <c r="J90" s="13"/>
      <c r="K90" s="2"/>
      <c r="L90" s="55"/>
      <c r="M90" s="273"/>
      <c r="N90" s="298"/>
      <c r="O90" s="27" t="str">
        <f>VLOOKUP(D90,숨김!$B$3:$E$300,4,0)</f>
        <v>성취도 5단계+석차등급X</v>
      </c>
    </row>
    <row r="91" spans="1:15" ht="16.5" customHeight="1">
      <c r="A91" s="267"/>
      <c r="B91" s="254"/>
      <c r="C91" s="65" t="str">
        <f>VLOOKUP(D91,숨김!$B$3:$E$300,2,0)</f>
        <v>융합</v>
      </c>
      <c r="D91" s="2" t="s">
        <v>503</v>
      </c>
      <c r="E91" s="53">
        <f>VLOOKUP(D91,숨김!$B$3:$E$300,3,0)</f>
        <v>4</v>
      </c>
      <c r="F91" s="15">
        <v>3</v>
      </c>
      <c r="G91" s="33"/>
      <c r="H91" s="2"/>
      <c r="I91" s="13"/>
      <c r="J91" s="13"/>
      <c r="K91" s="2"/>
      <c r="L91" s="55"/>
      <c r="M91" s="273"/>
      <c r="N91" s="298"/>
      <c r="O91" s="67" t="str">
        <f>VLOOKUP(D91,숨김!$B$3:$E$300,4,0)</f>
        <v>성취도 5단계+석차등급X</v>
      </c>
    </row>
    <row r="92" spans="1:15" ht="16.5" customHeight="1">
      <c r="A92" s="267"/>
      <c r="B92" s="13" t="s">
        <v>39</v>
      </c>
      <c r="C92" s="56" t="str">
        <f>VLOOKUP(D92,숨김!$B$3:$E$300,2,0)</f>
        <v>융합</v>
      </c>
      <c r="D92" s="2" t="s">
        <v>505</v>
      </c>
      <c r="E92" s="53">
        <f>VLOOKUP(D92,숨김!$B$3:$E$300,3,0)</f>
        <v>4</v>
      </c>
      <c r="F92" s="15">
        <v>3</v>
      </c>
      <c r="G92" s="33"/>
      <c r="H92" s="2"/>
      <c r="I92" s="2"/>
      <c r="J92" s="2"/>
      <c r="K92" s="6"/>
      <c r="L92" s="68"/>
      <c r="M92" s="273"/>
      <c r="N92" s="298"/>
      <c r="O92" s="67" t="str">
        <f>VLOOKUP(D92,숨김!$B$3:$E$300,4,0)</f>
        <v>성취도 5단계+석차등급O</v>
      </c>
    </row>
    <row r="93" spans="1:15" ht="16.5" customHeight="1">
      <c r="A93" s="267"/>
      <c r="B93" s="13" t="s">
        <v>40</v>
      </c>
      <c r="C93" s="65" t="str">
        <f>VLOOKUP(D93,숨김!$B$3:$E$300,2,0)</f>
        <v>융합</v>
      </c>
      <c r="D93" s="2" t="s">
        <v>506</v>
      </c>
      <c r="E93" s="53">
        <f>VLOOKUP(D93,숨김!$B$3:$E$300,3,0)</f>
        <v>4</v>
      </c>
      <c r="F93" s="15">
        <v>3</v>
      </c>
      <c r="G93" s="33"/>
      <c r="H93" s="2"/>
      <c r="I93" s="53"/>
      <c r="J93" s="53"/>
      <c r="K93" s="69"/>
      <c r="L93" s="68"/>
      <c r="M93" s="273"/>
      <c r="N93" s="298"/>
      <c r="O93" s="67" t="str">
        <f>VLOOKUP(D93,숨김!$B$3:$E$300,4,0)</f>
        <v>성취도 5단계+석차등급O</v>
      </c>
    </row>
    <row r="94" spans="1:15" ht="16.5" customHeight="1">
      <c r="A94" s="267"/>
      <c r="B94" s="253" t="s">
        <v>464</v>
      </c>
      <c r="C94" s="65" t="str">
        <f>VLOOKUP(D94,숨김!$B$3:$E$300,2,0)</f>
        <v>진로</v>
      </c>
      <c r="D94" s="2" t="s">
        <v>507</v>
      </c>
      <c r="E94" s="53">
        <f>VLOOKUP(D94,숨김!$B$3:$E$300,3,0)</f>
        <v>4</v>
      </c>
      <c r="F94" s="15">
        <v>3</v>
      </c>
      <c r="G94" s="33"/>
      <c r="H94" s="2"/>
      <c r="I94" s="53"/>
      <c r="J94" s="53"/>
      <c r="K94" s="69"/>
      <c r="L94" s="68"/>
      <c r="M94" s="273"/>
      <c r="N94" s="298"/>
      <c r="O94" s="67" t="str">
        <f>VLOOKUP(D94,숨김!$B$3:$E$300,4,0)</f>
        <v>성취도 5단계+석차등급O</v>
      </c>
    </row>
    <row r="95" spans="1:15" ht="16.5" customHeight="1">
      <c r="A95" s="287"/>
      <c r="B95" s="255"/>
      <c r="C95" s="56" t="str">
        <f>VLOOKUP(D95,숨김!$B$3:$E$300,2,0)</f>
        <v>진로</v>
      </c>
      <c r="D95" s="2" t="s">
        <v>508</v>
      </c>
      <c r="E95" s="53">
        <f>VLOOKUP(D95,숨김!$B$3:$E$300,3,0)</f>
        <v>4</v>
      </c>
      <c r="F95" s="15">
        <v>3</v>
      </c>
      <c r="G95" s="33"/>
      <c r="H95" s="2"/>
      <c r="I95" s="14"/>
      <c r="J95" s="14"/>
      <c r="K95" s="7"/>
      <c r="L95" s="69"/>
      <c r="M95" s="299"/>
      <c r="N95" s="300"/>
      <c r="O95" s="67" t="str">
        <f>VLOOKUP(D95,숨김!$B$3:$E$300,4,0)</f>
        <v>성취도 5단계+석차등급O</v>
      </c>
    </row>
    <row r="96" spans="1:15" ht="16.5" customHeight="1">
      <c r="A96" s="266" t="s">
        <v>497</v>
      </c>
      <c r="B96" s="253" t="s">
        <v>483</v>
      </c>
      <c r="C96" s="65" t="str">
        <f>VLOOKUP(D96,숨김!$B$3:$E$300,2,0)</f>
        <v>융합</v>
      </c>
      <c r="D96" s="2" t="s">
        <v>509</v>
      </c>
      <c r="E96" s="53">
        <v>3</v>
      </c>
      <c r="F96" s="15">
        <v>3</v>
      </c>
      <c r="G96" s="33"/>
      <c r="H96" s="2"/>
      <c r="I96" s="53"/>
      <c r="J96" s="53"/>
      <c r="K96" s="69"/>
      <c r="L96" s="13">
        <v>3</v>
      </c>
      <c r="M96" s="288">
        <f>SUM(G96:L97)</f>
        <v>3</v>
      </c>
      <c r="N96" s="289"/>
      <c r="O96" s="67" t="str">
        <f>VLOOKUP(D96,숨김!$B$3:$E$300,4,0)</f>
        <v>성취도 3단계</v>
      </c>
    </row>
    <row r="97" spans="1:15" ht="16.5" customHeight="1">
      <c r="A97" s="287"/>
      <c r="B97" s="255"/>
      <c r="C97" s="65" t="str">
        <f>VLOOKUP(D97,숨김!$B$3:$E$300,2,0)</f>
        <v>진로</v>
      </c>
      <c r="D97" s="2" t="s">
        <v>510</v>
      </c>
      <c r="E97" s="53">
        <v>3</v>
      </c>
      <c r="F97" s="15">
        <v>3</v>
      </c>
      <c r="G97" s="33"/>
      <c r="H97" s="2"/>
      <c r="I97" s="53"/>
      <c r="J97" s="53"/>
      <c r="K97" s="69"/>
      <c r="L97" s="69"/>
      <c r="M97" s="290"/>
      <c r="N97" s="291"/>
      <c r="O97" s="67" t="str">
        <f>VLOOKUP(D97,숨김!$B$3:$E$300,4,0)</f>
        <v>성취도 3단계</v>
      </c>
    </row>
    <row r="98" spans="1:15" ht="16.5" customHeight="1">
      <c r="A98" s="266" t="s">
        <v>498</v>
      </c>
      <c r="B98" s="269" t="s">
        <v>484</v>
      </c>
      <c r="C98" s="56" t="str">
        <f>VLOOKUP(D98,숨김!$B$3:$E$300,2,0)</f>
        <v>진로</v>
      </c>
      <c r="D98" s="2" t="s">
        <v>511</v>
      </c>
      <c r="E98" s="53">
        <f>VLOOKUP(D98,숨김!$B$3:$E$300,3,0)</f>
        <v>3</v>
      </c>
      <c r="F98" s="15">
        <v>2</v>
      </c>
      <c r="G98" s="33"/>
      <c r="H98" s="2"/>
      <c r="I98" s="14"/>
      <c r="J98" s="14"/>
      <c r="K98" s="2"/>
      <c r="L98" s="13">
        <v>2</v>
      </c>
      <c r="M98" s="271">
        <f>SUM(G98:L100)</f>
        <v>2</v>
      </c>
      <c r="N98" s="272"/>
      <c r="O98" s="67" t="str">
        <f>VLOOKUP(D98,숨김!$B$3:$E$300,4,0)</f>
        <v>이수/미이수</v>
      </c>
    </row>
    <row r="99" spans="1:15" ht="16.5" customHeight="1">
      <c r="A99" s="267"/>
      <c r="B99" s="254"/>
      <c r="C99" s="65" t="str">
        <f>VLOOKUP(D99,숨김!$B$3:$E$300,2,0)</f>
        <v>진로</v>
      </c>
      <c r="D99" s="2" t="s">
        <v>512</v>
      </c>
      <c r="E99" s="53">
        <v>3</v>
      </c>
      <c r="F99" s="15">
        <v>2</v>
      </c>
      <c r="G99" s="33"/>
      <c r="H99" s="2"/>
      <c r="I99" s="53"/>
      <c r="J99" s="53"/>
      <c r="K99" s="53"/>
      <c r="L99" s="55"/>
      <c r="M99" s="273"/>
      <c r="N99" s="274"/>
      <c r="O99" s="67" t="str">
        <f>VLOOKUP(D99,숨김!$B$3:$E$300,4,0)</f>
        <v>이수/미이수</v>
      </c>
    </row>
    <row r="100" spans="1:15" ht="16.2" customHeight="1" thickBot="1">
      <c r="A100" s="268"/>
      <c r="B100" s="270"/>
      <c r="C100" s="56" t="str">
        <f>VLOOKUP(D100,숨김!$B$3:$E$300,2,0)</f>
        <v>융합</v>
      </c>
      <c r="D100" s="2" t="s">
        <v>513</v>
      </c>
      <c r="E100" s="53">
        <f>VLOOKUP(D100,숨김!$B$3:$E$300,3,0)</f>
        <v>3</v>
      </c>
      <c r="F100" s="15">
        <v>2</v>
      </c>
      <c r="G100" s="33"/>
      <c r="H100" s="2"/>
      <c r="I100" s="14"/>
      <c r="J100" s="14"/>
      <c r="K100" s="14"/>
      <c r="L100" s="76"/>
      <c r="M100" s="275"/>
      <c r="N100" s="276"/>
      <c r="O100" s="67" t="str">
        <f>VLOOKUP(D100,숨김!$B$3:$E$300,4,0)</f>
        <v>이수/미이수</v>
      </c>
    </row>
    <row r="101" spans="1:15" ht="16.5" customHeight="1" thickBot="1">
      <c r="A101" s="277" t="s">
        <v>52</v>
      </c>
      <c r="B101" s="278"/>
      <c r="C101" s="278"/>
      <c r="D101" s="279"/>
      <c r="E101" s="3"/>
      <c r="F101" s="12"/>
      <c r="G101" s="35">
        <f t="shared" ref="G101:L101" si="3">SUM(G38:G100)</f>
        <v>0</v>
      </c>
      <c r="H101" s="3">
        <f t="shared" si="3"/>
        <v>0</v>
      </c>
      <c r="I101" s="3">
        <f t="shared" si="3"/>
        <v>15</v>
      </c>
      <c r="J101" s="3">
        <f t="shared" si="3"/>
        <v>15</v>
      </c>
      <c r="K101" s="3">
        <f t="shared" si="3"/>
        <v>14</v>
      </c>
      <c r="L101" s="3">
        <f t="shared" si="3"/>
        <v>26</v>
      </c>
      <c r="M101" s="280">
        <f>SUM(G101:L101)</f>
        <v>70</v>
      </c>
      <c r="N101" s="281"/>
      <c r="O101" s="29"/>
    </row>
    <row r="102" spans="1:15" ht="16.5" customHeight="1">
      <c r="A102" s="282" t="s">
        <v>53</v>
      </c>
      <c r="B102" s="283"/>
      <c r="C102" s="283"/>
      <c r="D102" s="284"/>
      <c r="E102" s="36"/>
      <c r="F102" s="37"/>
      <c r="G102" s="38">
        <f t="shared" ref="G102:L102" si="4">SUM(G37,G101)</f>
        <v>29</v>
      </c>
      <c r="H102" s="36">
        <f t="shared" si="4"/>
        <v>29</v>
      </c>
      <c r="I102" s="36">
        <f t="shared" si="4"/>
        <v>30</v>
      </c>
      <c r="J102" s="36">
        <f t="shared" si="4"/>
        <v>30</v>
      </c>
      <c r="K102" s="36">
        <f t="shared" si="4"/>
        <v>28</v>
      </c>
      <c r="L102" s="36">
        <f t="shared" si="4"/>
        <v>28</v>
      </c>
      <c r="M102" s="285">
        <f>SUM(G102:L102)</f>
        <v>174</v>
      </c>
      <c r="N102" s="286"/>
      <c r="O102" s="39"/>
    </row>
    <row r="103" spans="1:15" ht="16.5" customHeight="1" thickBot="1">
      <c r="A103" s="256" t="s">
        <v>54</v>
      </c>
      <c r="B103" s="257"/>
      <c r="C103" s="257"/>
      <c r="D103" s="258"/>
      <c r="E103" s="40"/>
      <c r="F103" s="41"/>
      <c r="G103" s="42">
        <v>3</v>
      </c>
      <c r="H103" s="40">
        <v>3</v>
      </c>
      <c r="I103" s="40">
        <v>3</v>
      </c>
      <c r="J103" s="40">
        <v>3</v>
      </c>
      <c r="K103" s="40">
        <v>3</v>
      </c>
      <c r="L103" s="40">
        <v>3</v>
      </c>
      <c r="M103" s="259">
        <f>SUM(G103:L103)</f>
        <v>18</v>
      </c>
      <c r="N103" s="260"/>
      <c r="O103" s="43"/>
    </row>
    <row r="104" spans="1:15" ht="16.5" customHeight="1" thickBot="1">
      <c r="A104" s="261" t="s">
        <v>55</v>
      </c>
      <c r="B104" s="262"/>
      <c r="C104" s="262"/>
      <c r="D104" s="263"/>
      <c r="E104" s="44"/>
      <c r="F104" s="45"/>
      <c r="G104" s="46">
        <f t="shared" ref="G104:L104" si="5">SUM(G102:G103)</f>
        <v>32</v>
      </c>
      <c r="H104" s="44">
        <f t="shared" si="5"/>
        <v>32</v>
      </c>
      <c r="I104" s="44">
        <f t="shared" si="5"/>
        <v>33</v>
      </c>
      <c r="J104" s="44">
        <f t="shared" si="5"/>
        <v>33</v>
      </c>
      <c r="K104" s="44">
        <f t="shared" si="5"/>
        <v>31</v>
      </c>
      <c r="L104" s="44">
        <f t="shared" si="5"/>
        <v>31</v>
      </c>
      <c r="M104" s="264">
        <f>SUM(G104:L104)</f>
        <v>192</v>
      </c>
      <c r="N104" s="265"/>
      <c r="O104" s="47"/>
    </row>
    <row r="105" spans="1:15" ht="16.5" customHeight="1">
      <c r="A105" s="8"/>
      <c r="N105" s="8"/>
    </row>
    <row r="106" spans="1:15" ht="16.5" customHeight="1">
      <c r="A106" s="8"/>
      <c r="N106" s="8"/>
    </row>
    <row r="107" spans="1:15" ht="16.5" customHeight="1">
      <c r="A107" s="8"/>
      <c r="N107" s="8"/>
    </row>
    <row r="108" spans="1:15" ht="16.5" customHeight="1">
      <c r="A108" s="8"/>
      <c r="N108" s="8"/>
    </row>
    <row r="109" spans="1:15" ht="16.5" customHeight="1">
      <c r="A109" s="8"/>
      <c r="N109" s="8"/>
    </row>
    <row r="110" spans="1:15" ht="16.5" customHeight="1">
      <c r="A110" s="8"/>
      <c r="N110" s="8"/>
    </row>
    <row r="111" spans="1:15" ht="16.5" customHeight="1">
      <c r="A111" s="8"/>
      <c r="N111" s="8"/>
    </row>
    <row r="112" spans="1:15" ht="16.5" customHeight="1">
      <c r="A112" s="8"/>
      <c r="N112" s="8"/>
    </row>
    <row r="113" spans="1:14" ht="16.5" customHeight="1">
      <c r="A113" s="8"/>
      <c r="N113" s="8"/>
    </row>
    <row r="114" spans="1:14" ht="16.5" customHeight="1">
      <c r="A114" s="8"/>
      <c r="N114" s="8"/>
    </row>
    <row r="115" spans="1:14" ht="16.5" customHeight="1">
      <c r="A115" s="8"/>
      <c r="N115" s="8"/>
    </row>
    <row r="116" spans="1:14" ht="16.5" customHeight="1">
      <c r="A116" s="8"/>
      <c r="N116" s="8"/>
    </row>
    <row r="117" spans="1:14" ht="16.5" customHeight="1">
      <c r="A117" s="8"/>
      <c r="N117" s="8"/>
    </row>
    <row r="118" spans="1:14" ht="16.5" customHeight="1">
      <c r="A118" s="8"/>
      <c r="N118" s="8"/>
    </row>
    <row r="119" spans="1:14" ht="16.5" customHeight="1">
      <c r="A119" s="8"/>
      <c r="N119" s="8"/>
    </row>
    <row r="120" spans="1:14" ht="16.5" customHeight="1">
      <c r="A120" s="8"/>
      <c r="N120" s="8"/>
    </row>
    <row r="121" spans="1:14" ht="16.5" customHeight="1">
      <c r="A121" s="8"/>
      <c r="N121" s="8"/>
    </row>
    <row r="122" spans="1:14" ht="16.5" customHeight="1">
      <c r="A122" s="8"/>
      <c r="N122" s="8"/>
    </row>
    <row r="123" spans="1:14" ht="16.5" customHeight="1">
      <c r="A123" s="8"/>
      <c r="N123" s="8"/>
    </row>
    <row r="124" spans="1:14" ht="16.5" customHeight="1">
      <c r="A124" s="8"/>
      <c r="N124" s="8"/>
    </row>
    <row r="125" spans="1:14" ht="16.5" customHeight="1">
      <c r="A125" s="8"/>
      <c r="N125" s="8"/>
    </row>
    <row r="126" spans="1:14" ht="16.5" customHeight="1">
      <c r="A126" s="8"/>
      <c r="N126" s="8"/>
    </row>
    <row r="127" spans="1:14" ht="16.5" customHeight="1">
      <c r="A127" s="8"/>
      <c r="N127" s="8"/>
    </row>
    <row r="128" spans="1:14" ht="16.5" customHeight="1">
      <c r="A128" s="8"/>
      <c r="N128" s="8"/>
    </row>
    <row r="129" spans="1:14" ht="16.5" customHeight="1">
      <c r="A129" s="8"/>
      <c r="N129" s="8"/>
    </row>
    <row r="130" spans="1:14" ht="16.5" customHeight="1">
      <c r="A130" s="8"/>
      <c r="N130" s="8"/>
    </row>
    <row r="131" spans="1:14" ht="16.5" customHeight="1">
      <c r="A131" s="8"/>
      <c r="N131" s="8"/>
    </row>
    <row r="132" spans="1:14" ht="16.5" customHeight="1">
      <c r="A132" s="8"/>
      <c r="N132" s="8"/>
    </row>
    <row r="133" spans="1:14" ht="16.5" customHeight="1">
      <c r="A133" s="8"/>
      <c r="N133" s="8"/>
    </row>
    <row r="134" spans="1:14" ht="16.5" customHeight="1">
      <c r="A134" s="8"/>
      <c r="N134" s="8"/>
    </row>
    <row r="135" spans="1:14" ht="16.5" customHeight="1">
      <c r="A135" s="8"/>
      <c r="N135" s="8"/>
    </row>
    <row r="136" spans="1:14" ht="16.5" customHeight="1">
      <c r="A136" s="8"/>
      <c r="N136" s="8"/>
    </row>
    <row r="137" spans="1:14" ht="16.5" customHeight="1">
      <c r="A137" s="8"/>
      <c r="N137" s="8"/>
    </row>
    <row r="138" spans="1:14" ht="16.5" customHeight="1">
      <c r="A138" s="8"/>
      <c r="N138" s="8"/>
    </row>
    <row r="139" spans="1:14" ht="16.5" customHeight="1">
      <c r="A139" s="8"/>
      <c r="N139" s="8"/>
    </row>
    <row r="140" spans="1:14" ht="16.5" customHeight="1">
      <c r="A140" s="8"/>
      <c r="N140" s="8"/>
    </row>
    <row r="141" spans="1:14" ht="16.5" customHeight="1">
      <c r="A141" s="8"/>
      <c r="N141" s="8"/>
    </row>
    <row r="142" spans="1:14" ht="16.5" customHeight="1">
      <c r="A142" s="8"/>
      <c r="N142" s="8"/>
    </row>
    <row r="143" spans="1:14" ht="16.5" customHeight="1">
      <c r="A143" s="8"/>
      <c r="N143" s="8"/>
    </row>
    <row r="144" spans="1:14" ht="16.5" customHeight="1">
      <c r="A144" s="8"/>
      <c r="N144" s="8"/>
    </row>
    <row r="145" spans="1:14" ht="16.5" customHeight="1">
      <c r="A145" s="8"/>
      <c r="N145" s="8"/>
    </row>
    <row r="146" spans="1:14" ht="16.5" customHeight="1">
      <c r="A146" s="8"/>
      <c r="N146" s="8"/>
    </row>
    <row r="147" spans="1:14" ht="16.5" customHeight="1">
      <c r="A147" s="8"/>
      <c r="N147" s="8"/>
    </row>
    <row r="148" spans="1:14" ht="16.5" customHeight="1">
      <c r="A148" s="8"/>
      <c r="N148" s="8"/>
    </row>
    <row r="149" spans="1:14" ht="16.5" customHeight="1">
      <c r="A149" s="8"/>
      <c r="N149" s="8"/>
    </row>
    <row r="150" spans="1:14" ht="16.5" customHeight="1">
      <c r="A150" s="8"/>
      <c r="N150" s="8"/>
    </row>
    <row r="151" spans="1:14" ht="16.5" customHeight="1">
      <c r="A151" s="8"/>
      <c r="N151" s="8"/>
    </row>
    <row r="152" spans="1:14" ht="16.5" customHeight="1">
      <c r="A152" s="8"/>
      <c r="N152" s="8"/>
    </row>
    <row r="153" spans="1:14" ht="16.5" customHeight="1">
      <c r="A153" s="8"/>
      <c r="N153" s="8"/>
    </row>
    <row r="154" spans="1:14" ht="16.5" customHeight="1">
      <c r="A154" s="8"/>
      <c r="N154" s="8"/>
    </row>
    <row r="155" spans="1:14" ht="16.5" customHeight="1">
      <c r="A155" s="8"/>
      <c r="N155" s="8"/>
    </row>
    <row r="156" spans="1:14" ht="16.5" customHeight="1">
      <c r="A156" s="8"/>
      <c r="N156" s="8"/>
    </row>
    <row r="157" spans="1:14" ht="16.5" customHeight="1">
      <c r="A157" s="8"/>
      <c r="N157" s="8"/>
    </row>
    <row r="158" spans="1:14" ht="16.5" customHeight="1">
      <c r="A158" s="8"/>
      <c r="N158" s="8"/>
    </row>
    <row r="159" spans="1:14" ht="16.5" customHeight="1">
      <c r="A159" s="8"/>
      <c r="N159" s="8"/>
    </row>
    <row r="160" spans="1:14" ht="16.5" customHeight="1">
      <c r="A160" s="8"/>
      <c r="N160" s="8"/>
    </row>
    <row r="161" spans="1:14" ht="16.5" customHeight="1">
      <c r="A161" s="8"/>
      <c r="N161" s="8"/>
    </row>
    <row r="162" spans="1:14" ht="16.5" customHeight="1">
      <c r="A162" s="8"/>
      <c r="N162" s="8"/>
    </row>
    <row r="163" spans="1:14" ht="16.5" customHeight="1">
      <c r="A163" s="8"/>
      <c r="N163" s="8"/>
    </row>
    <row r="164" spans="1:14" ht="16.5" customHeight="1">
      <c r="A164" s="8"/>
      <c r="N164" s="8"/>
    </row>
    <row r="165" spans="1:14" ht="16.5" customHeight="1">
      <c r="A165" s="8"/>
      <c r="N165" s="8"/>
    </row>
    <row r="166" spans="1:14" ht="16.5" customHeight="1">
      <c r="A166" s="8"/>
      <c r="N166" s="8"/>
    </row>
    <row r="167" spans="1:14" ht="16.5" customHeight="1">
      <c r="A167" s="8"/>
      <c r="N167" s="8"/>
    </row>
    <row r="168" spans="1:14" ht="16.5" customHeight="1">
      <c r="A168" s="8"/>
      <c r="N168" s="8"/>
    </row>
    <row r="169" spans="1:14" ht="16.5" customHeight="1">
      <c r="A169" s="8"/>
      <c r="N169" s="8"/>
    </row>
    <row r="170" spans="1:14" ht="16.5" customHeight="1">
      <c r="A170" s="8"/>
      <c r="N170" s="8"/>
    </row>
    <row r="171" spans="1:14" ht="16.5" customHeight="1">
      <c r="A171" s="8"/>
      <c r="N171" s="8"/>
    </row>
    <row r="172" spans="1:14" ht="16.5" customHeight="1">
      <c r="A172" s="8"/>
      <c r="N172" s="8"/>
    </row>
    <row r="173" spans="1:14" ht="16.5" customHeight="1">
      <c r="A173" s="8"/>
      <c r="N173" s="8"/>
    </row>
    <row r="174" spans="1:14" ht="16.5" customHeight="1">
      <c r="A174" s="8"/>
      <c r="N174" s="8"/>
    </row>
    <row r="175" spans="1:14" ht="16.5" customHeight="1">
      <c r="A175" s="8"/>
      <c r="N175" s="8"/>
    </row>
    <row r="176" spans="1:14" ht="16.5" customHeight="1">
      <c r="A176" s="8"/>
      <c r="N176" s="8"/>
    </row>
    <row r="177" spans="1:14" ht="16.5" customHeight="1">
      <c r="A177" s="8"/>
      <c r="N177" s="8"/>
    </row>
    <row r="178" spans="1:14" ht="16.5" customHeight="1">
      <c r="A178" s="8"/>
      <c r="N178" s="8"/>
    </row>
    <row r="179" spans="1:14" ht="16.5" customHeight="1">
      <c r="A179" s="8"/>
      <c r="N179" s="8"/>
    </row>
    <row r="180" spans="1:14" ht="16.5" customHeight="1">
      <c r="A180" s="8"/>
      <c r="N180" s="8"/>
    </row>
    <row r="181" spans="1:14" ht="16.5" customHeight="1">
      <c r="A181" s="8"/>
      <c r="N181" s="8"/>
    </row>
    <row r="182" spans="1:14" ht="16.5" customHeight="1">
      <c r="A182" s="8"/>
      <c r="N182" s="8"/>
    </row>
    <row r="183" spans="1:14" ht="16.5" customHeight="1">
      <c r="A183" s="8"/>
      <c r="N183" s="8"/>
    </row>
    <row r="184" spans="1:14" ht="16.5" customHeight="1">
      <c r="A184" s="8"/>
      <c r="N184" s="8"/>
    </row>
    <row r="185" spans="1:14" ht="16.5" customHeight="1">
      <c r="A185" s="8"/>
      <c r="N185" s="8"/>
    </row>
    <row r="186" spans="1:14" ht="16.5" customHeight="1">
      <c r="A186" s="8"/>
      <c r="N186" s="8"/>
    </row>
    <row r="187" spans="1:14" ht="16.5" customHeight="1">
      <c r="A187" s="8"/>
      <c r="N187" s="8"/>
    </row>
    <row r="188" spans="1:14" ht="16.5" customHeight="1">
      <c r="A188" s="8"/>
      <c r="N188" s="8"/>
    </row>
    <row r="189" spans="1:14" ht="16.5" customHeight="1">
      <c r="A189" s="8"/>
      <c r="N189" s="8"/>
    </row>
    <row r="190" spans="1:14" ht="16.5" customHeight="1">
      <c r="A190" s="8"/>
      <c r="N190" s="8"/>
    </row>
    <row r="191" spans="1:14" ht="16.5" customHeight="1">
      <c r="A191" s="8"/>
      <c r="N191" s="8"/>
    </row>
    <row r="192" spans="1:14" ht="16.5" customHeight="1">
      <c r="A192" s="8"/>
      <c r="N192" s="8"/>
    </row>
    <row r="193" spans="1:14" ht="16.5" customHeight="1">
      <c r="A193" s="8"/>
      <c r="N193" s="8"/>
    </row>
    <row r="194" spans="1:14" ht="16.5" customHeight="1">
      <c r="A194" s="8"/>
      <c r="N194" s="8"/>
    </row>
    <row r="195" spans="1:14" ht="16.5" customHeight="1">
      <c r="A195" s="8"/>
      <c r="N195" s="8"/>
    </row>
    <row r="196" spans="1:14" ht="16.5" customHeight="1">
      <c r="A196" s="8"/>
      <c r="N196" s="8"/>
    </row>
    <row r="197" spans="1:14" ht="16.5" customHeight="1">
      <c r="A197" s="8"/>
      <c r="N197" s="8"/>
    </row>
    <row r="198" spans="1:14" ht="16.5" customHeight="1">
      <c r="A198" s="8"/>
      <c r="N198" s="8"/>
    </row>
    <row r="199" spans="1:14" ht="16.5" customHeight="1">
      <c r="A199" s="8"/>
      <c r="N199" s="8"/>
    </row>
    <row r="200" spans="1:14" ht="16.5" customHeight="1">
      <c r="A200" s="8"/>
      <c r="N200" s="8"/>
    </row>
    <row r="201" spans="1:14" ht="16.5" customHeight="1">
      <c r="A201" s="8"/>
      <c r="N201" s="8"/>
    </row>
    <row r="202" spans="1:14" ht="16.5" customHeight="1">
      <c r="A202" s="8"/>
      <c r="N202" s="8"/>
    </row>
    <row r="203" spans="1:14" ht="16.5" customHeight="1">
      <c r="A203" s="8"/>
      <c r="N203" s="8"/>
    </row>
    <row r="204" spans="1:14" ht="16.5" customHeight="1">
      <c r="A204" s="8"/>
      <c r="N204" s="8"/>
    </row>
    <row r="205" spans="1:14" ht="16.5" customHeight="1">
      <c r="A205" s="8"/>
      <c r="N205" s="8"/>
    </row>
    <row r="206" spans="1:14" ht="16.5" customHeight="1">
      <c r="A206" s="8"/>
      <c r="N206" s="8"/>
    </row>
    <row r="207" spans="1:14" ht="16.5" customHeight="1">
      <c r="A207" s="8"/>
      <c r="N207" s="8"/>
    </row>
    <row r="208" spans="1:14" ht="16.5" customHeight="1">
      <c r="A208" s="8"/>
      <c r="N208" s="8"/>
    </row>
    <row r="209" spans="1:14" ht="16.5" customHeight="1">
      <c r="A209" s="8"/>
      <c r="N209" s="8"/>
    </row>
    <row r="210" spans="1:14" ht="16.5" customHeight="1">
      <c r="A210" s="8"/>
      <c r="N210" s="8"/>
    </row>
    <row r="211" spans="1:14" ht="16.5" customHeight="1">
      <c r="A211" s="8"/>
      <c r="N211" s="8"/>
    </row>
    <row r="212" spans="1:14" ht="16.5" customHeight="1">
      <c r="A212" s="8"/>
      <c r="N212" s="8"/>
    </row>
    <row r="213" spans="1:14" ht="16.5" customHeight="1">
      <c r="A213" s="8"/>
      <c r="N213" s="8"/>
    </row>
    <row r="214" spans="1:14" ht="16.5" customHeight="1">
      <c r="A214" s="8"/>
      <c r="N214" s="8"/>
    </row>
    <row r="215" spans="1:14" ht="16.5" customHeight="1">
      <c r="A215" s="8"/>
      <c r="N215" s="8"/>
    </row>
    <row r="216" spans="1:14" ht="16.5" customHeight="1">
      <c r="A216" s="8"/>
      <c r="N216" s="8"/>
    </row>
    <row r="217" spans="1:14" ht="16.5" customHeight="1">
      <c r="A217" s="8"/>
      <c r="N217" s="8"/>
    </row>
    <row r="218" spans="1:14" ht="16.5" customHeight="1">
      <c r="A218" s="8"/>
      <c r="N218" s="8"/>
    </row>
    <row r="219" spans="1:14" ht="16.5" customHeight="1">
      <c r="A219" s="8"/>
      <c r="N219" s="8"/>
    </row>
    <row r="220" spans="1:14" ht="16.5" customHeight="1">
      <c r="A220" s="8"/>
      <c r="N220" s="8"/>
    </row>
    <row r="221" spans="1:14" ht="16.5" customHeight="1">
      <c r="A221" s="8"/>
      <c r="N221" s="8"/>
    </row>
    <row r="222" spans="1:14" ht="16.5" customHeight="1">
      <c r="A222" s="8"/>
      <c r="N222" s="8"/>
    </row>
    <row r="223" spans="1:14" ht="16.5" customHeight="1">
      <c r="A223" s="8"/>
      <c r="N223" s="8"/>
    </row>
    <row r="224" spans="1:14" ht="16.5" customHeight="1">
      <c r="A224" s="8"/>
      <c r="N224" s="8"/>
    </row>
    <row r="225" spans="1:14" ht="16.5" customHeight="1">
      <c r="A225" s="8"/>
      <c r="N225" s="8"/>
    </row>
    <row r="226" spans="1:14" ht="16.5" customHeight="1">
      <c r="A226" s="8"/>
      <c r="N226" s="8"/>
    </row>
    <row r="227" spans="1:14" ht="16.5" customHeight="1">
      <c r="A227" s="8"/>
      <c r="N227" s="8"/>
    </row>
    <row r="228" spans="1:14" ht="16.5" customHeight="1">
      <c r="A228" s="8"/>
      <c r="N228" s="8"/>
    </row>
    <row r="229" spans="1:14" ht="16.5" customHeight="1">
      <c r="A229" s="8"/>
      <c r="N229" s="8"/>
    </row>
    <row r="230" spans="1:14" ht="16.5" customHeight="1">
      <c r="A230" s="8"/>
      <c r="N230" s="8"/>
    </row>
    <row r="231" spans="1:14" ht="16.5" customHeight="1">
      <c r="A231" s="8"/>
      <c r="N231" s="8"/>
    </row>
    <row r="232" spans="1:14" ht="16.5" customHeight="1">
      <c r="A232" s="8"/>
      <c r="N232" s="8"/>
    </row>
    <row r="233" spans="1:14" ht="16.5" customHeight="1">
      <c r="A233" s="8"/>
      <c r="N233" s="8"/>
    </row>
    <row r="234" spans="1:14" ht="16.5" customHeight="1">
      <c r="A234" s="8"/>
      <c r="N234" s="8"/>
    </row>
    <row r="235" spans="1:14" ht="16.5" customHeight="1">
      <c r="A235" s="8"/>
      <c r="N235" s="8"/>
    </row>
    <row r="236" spans="1:14" ht="16.5" customHeight="1">
      <c r="A236" s="8"/>
      <c r="N236" s="8"/>
    </row>
    <row r="237" spans="1:14" ht="16.5" customHeight="1">
      <c r="A237" s="8"/>
      <c r="N237" s="8"/>
    </row>
    <row r="238" spans="1:14" ht="16.5" customHeight="1">
      <c r="A238" s="8"/>
      <c r="N238" s="8"/>
    </row>
    <row r="239" spans="1:14" ht="16.5" customHeight="1">
      <c r="A239" s="8"/>
      <c r="N239" s="8"/>
    </row>
    <row r="240" spans="1:14" ht="16.5" customHeight="1">
      <c r="A240" s="8"/>
      <c r="N240" s="8"/>
    </row>
    <row r="241" spans="1:14" ht="16.5" customHeight="1">
      <c r="A241" s="8"/>
      <c r="N241" s="8"/>
    </row>
    <row r="242" spans="1:14" ht="16.5" customHeight="1">
      <c r="A242" s="8"/>
      <c r="N242" s="8"/>
    </row>
    <row r="243" spans="1:14" ht="16.5" customHeight="1">
      <c r="A243" s="8"/>
      <c r="N243" s="8"/>
    </row>
    <row r="244" spans="1:14" ht="16.5" customHeight="1">
      <c r="A244" s="8"/>
      <c r="N244" s="8"/>
    </row>
    <row r="245" spans="1:14" ht="16.5" customHeight="1">
      <c r="A245" s="8"/>
      <c r="N245" s="8"/>
    </row>
    <row r="246" spans="1:14" ht="16.5" customHeight="1">
      <c r="A246" s="8"/>
      <c r="N246" s="8"/>
    </row>
    <row r="247" spans="1:14" ht="16.5" customHeight="1">
      <c r="A247" s="8"/>
      <c r="N247" s="8"/>
    </row>
    <row r="248" spans="1:14" ht="16.5" customHeight="1">
      <c r="A248" s="8"/>
      <c r="N248" s="8"/>
    </row>
    <row r="249" spans="1:14" ht="16.5" customHeight="1">
      <c r="A249" s="8"/>
      <c r="N249" s="8"/>
    </row>
    <row r="250" spans="1:14" ht="16.5" customHeight="1">
      <c r="A250" s="8"/>
      <c r="N250" s="8"/>
    </row>
    <row r="251" spans="1:14" ht="16.5" customHeight="1">
      <c r="A251" s="8"/>
      <c r="N251" s="8"/>
    </row>
    <row r="252" spans="1:14" ht="16.5" customHeight="1">
      <c r="A252" s="8"/>
      <c r="N252" s="8"/>
    </row>
    <row r="253" spans="1:14" ht="16.5" customHeight="1">
      <c r="A253" s="8"/>
      <c r="N253" s="8"/>
    </row>
    <row r="254" spans="1:14" ht="16.5" customHeight="1">
      <c r="A254" s="8"/>
      <c r="N254" s="8"/>
    </row>
    <row r="255" spans="1:14" ht="16.5" customHeight="1">
      <c r="A255" s="8"/>
      <c r="N255" s="8"/>
    </row>
    <row r="256" spans="1:14" ht="16.5" customHeight="1">
      <c r="A256" s="8"/>
      <c r="N256" s="8"/>
    </row>
    <row r="257" spans="1:14" ht="16.5" customHeight="1">
      <c r="A257" s="8"/>
      <c r="N257" s="8"/>
    </row>
    <row r="258" spans="1:14" ht="16.5" customHeight="1">
      <c r="A258" s="8"/>
      <c r="N258" s="8"/>
    </row>
    <row r="259" spans="1:14" ht="16.5" customHeight="1">
      <c r="A259" s="8"/>
      <c r="N259" s="8"/>
    </row>
    <row r="260" spans="1:14" ht="16.5" customHeight="1">
      <c r="A260" s="8"/>
      <c r="N260" s="8"/>
    </row>
    <row r="261" spans="1:14" ht="16.5" customHeight="1">
      <c r="A261" s="8"/>
      <c r="N261" s="8"/>
    </row>
    <row r="262" spans="1:14" ht="16.5" customHeight="1">
      <c r="A262" s="8"/>
      <c r="N262" s="8"/>
    </row>
    <row r="263" spans="1:14" ht="16.5" customHeight="1">
      <c r="A263" s="8"/>
      <c r="N263" s="8"/>
    </row>
    <row r="264" spans="1:14" ht="16.5" customHeight="1">
      <c r="A264" s="8"/>
      <c r="N264" s="8"/>
    </row>
    <row r="265" spans="1:14" ht="16.5" customHeight="1">
      <c r="A265" s="8"/>
      <c r="N265" s="8"/>
    </row>
    <row r="266" spans="1:14" ht="16.5" customHeight="1">
      <c r="A266" s="8"/>
      <c r="N266" s="8"/>
    </row>
    <row r="267" spans="1:14" ht="16.5" customHeight="1">
      <c r="A267" s="8"/>
      <c r="N267" s="8"/>
    </row>
    <row r="268" spans="1:14" ht="16.5" customHeight="1">
      <c r="A268" s="8"/>
      <c r="N268" s="8"/>
    </row>
    <row r="269" spans="1:14" ht="16.5" customHeight="1">
      <c r="A269" s="8"/>
      <c r="N269" s="8"/>
    </row>
    <row r="270" spans="1:14" ht="16.5" customHeight="1">
      <c r="A270" s="8"/>
      <c r="N270" s="8"/>
    </row>
    <row r="271" spans="1:14" ht="16.5" customHeight="1">
      <c r="A271" s="8"/>
      <c r="N271" s="8"/>
    </row>
    <row r="272" spans="1:14" ht="16.5" customHeight="1">
      <c r="A272" s="8"/>
      <c r="N272" s="8"/>
    </row>
    <row r="273" spans="1:14" ht="16.5" customHeight="1">
      <c r="A273" s="8"/>
      <c r="N273" s="8"/>
    </row>
    <row r="274" spans="1:14" ht="16.5" customHeight="1">
      <c r="A274" s="8"/>
      <c r="N274" s="8"/>
    </row>
    <row r="275" spans="1:14" ht="16.5" customHeight="1">
      <c r="A275" s="8"/>
      <c r="N275" s="8"/>
    </row>
    <row r="276" spans="1:14" ht="16.5" customHeight="1">
      <c r="A276" s="8"/>
      <c r="N276" s="8"/>
    </row>
    <row r="277" spans="1:14" ht="16.5" customHeight="1">
      <c r="A277" s="8"/>
      <c r="N277" s="8"/>
    </row>
    <row r="278" spans="1:14" ht="16.5" customHeight="1">
      <c r="A278" s="8"/>
      <c r="N278" s="8"/>
    </row>
    <row r="279" spans="1:14" ht="16.5" customHeight="1">
      <c r="A279" s="8"/>
      <c r="N279" s="8"/>
    </row>
    <row r="280" spans="1:14" ht="16.5" customHeight="1">
      <c r="A280" s="8"/>
      <c r="N280" s="8"/>
    </row>
    <row r="281" spans="1:14" ht="16.5" customHeight="1">
      <c r="A281" s="8"/>
      <c r="N281" s="8"/>
    </row>
    <row r="282" spans="1:14" ht="16.5" customHeight="1">
      <c r="A282" s="8"/>
      <c r="N282" s="8"/>
    </row>
    <row r="283" spans="1:14" ht="16.5" customHeight="1">
      <c r="A283" s="8"/>
      <c r="N283" s="8"/>
    </row>
    <row r="284" spans="1:14" ht="16.5" customHeight="1">
      <c r="A284" s="8"/>
      <c r="N284" s="8"/>
    </row>
    <row r="285" spans="1:14" ht="16.5" customHeight="1">
      <c r="A285" s="8"/>
      <c r="N285" s="8"/>
    </row>
    <row r="286" spans="1:14" ht="16.5" customHeight="1">
      <c r="A286" s="8"/>
      <c r="N286" s="8"/>
    </row>
    <row r="287" spans="1:14" ht="16.5" customHeight="1">
      <c r="A287" s="8"/>
      <c r="N287" s="8"/>
    </row>
    <row r="288" spans="1:14" ht="16.5" customHeight="1">
      <c r="A288" s="8"/>
      <c r="N288" s="8"/>
    </row>
    <row r="289" spans="1:14" ht="16.5" customHeight="1">
      <c r="A289" s="8"/>
      <c r="N289" s="8"/>
    </row>
    <row r="290" spans="1:14" ht="16.5" customHeight="1">
      <c r="A290" s="8"/>
      <c r="N290" s="8"/>
    </row>
    <row r="291" spans="1:14" ht="16.5" customHeight="1">
      <c r="A291" s="8"/>
      <c r="N291" s="8"/>
    </row>
    <row r="292" spans="1:14" ht="16.5" customHeight="1">
      <c r="A292" s="8"/>
      <c r="N292" s="8"/>
    </row>
    <row r="293" spans="1:14" ht="16.5" customHeight="1">
      <c r="A293" s="8"/>
      <c r="N293" s="8"/>
    </row>
    <row r="294" spans="1:14" ht="16.5" customHeight="1">
      <c r="A294" s="8"/>
      <c r="N294" s="8"/>
    </row>
    <row r="295" spans="1:14" ht="16.5" customHeight="1">
      <c r="A295" s="8"/>
      <c r="N295" s="8"/>
    </row>
    <row r="296" spans="1:14" ht="16.5" customHeight="1">
      <c r="A296" s="8"/>
      <c r="N296" s="8"/>
    </row>
    <row r="297" spans="1:14" ht="16.5" customHeight="1">
      <c r="A297" s="8"/>
      <c r="N297" s="8"/>
    </row>
    <row r="298" spans="1:14" ht="16.5" customHeight="1">
      <c r="A298" s="8"/>
      <c r="N298" s="8"/>
    </row>
    <row r="299" spans="1:14" ht="16.5" customHeight="1">
      <c r="A299" s="8"/>
      <c r="N299" s="8"/>
    </row>
    <row r="300" spans="1:14" ht="16.5" customHeight="1">
      <c r="A300" s="8"/>
      <c r="N300" s="8"/>
    </row>
    <row r="301" spans="1:14" ht="16.5" customHeight="1">
      <c r="A301" s="8"/>
      <c r="N301" s="8"/>
    </row>
    <row r="302" spans="1:14" ht="16.5" customHeight="1">
      <c r="A302" s="8"/>
      <c r="N302" s="8"/>
    </row>
    <row r="303" spans="1:14" ht="16.5" customHeight="1">
      <c r="A303" s="8"/>
      <c r="N303" s="8"/>
    </row>
    <row r="304" spans="1:14" ht="16.5" customHeight="1">
      <c r="A304" s="8"/>
      <c r="N304" s="8"/>
    </row>
    <row r="305" spans="1:14" ht="16.5" customHeight="1">
      <c r="A305" s="8"/>
      <c r="N305" s="8"/>
    </row>
    <row r="306" spans="1:14" ht="16.5" customHeight="1">
      <c r="A306" s="8"/>
      <c r="N306" s="8"/>
    </row>
    <row r="307" spans="1:14" ht="16.5" customHeight="1">
      <c r="A307" s="8"/>
      <c r="N307" s="8"/>
    </row>
    <row r="308" spans="1:14" ht="16.5" customHeight="1">
      <c r="A308" s="8"/>
      <c r="N308" s="8"/>
    </row>
    <row r="309" spans="1:14" ht="16.5" customHeight="1">
      <c r="A309" s="8"/>
      <c r="N309" s="8"/>
    </row>
    <row r="310" spans="1:14" ht="16.5" customHeight="1">
      <c r="A310" s="8"/>
      <c r="N310" s="8"/>
    </row>
    <row r="311" spans="1:14" ht="16.5" customHeight="1">
      <c r="A311" s="8"/>
      <c r="N311" s="8"/>
    </row>
    <row r="312" spans="1:14" ht="16.5" customHeight="1">
      <c r="A312" s="8"/>
      <c r="N312" s="8"/>
    </row>
    <row r="313" spans="1:14" ht="16.5" customHeight="1">
      <c r="A313" s="8"/>
      <c r="N313" s="8"/>
    </row>
    <row r="314" spans="1:14" ht="16.5" customHeight="1">
      <c r="A314" s="8"/>
      <c r="N314" s="8"/>
    </row>
    <row r="315" spans="1:14" ht="16.5" customHeight="1">
      <c r="A315" s="8"/>
      <c r="N315" s="8"/>
    </row>
    <row r="316" spans="1:14" ht="16.5" customHeight="1">
      <c r="A316" s="8"/>
      <c r="N316" s="8"/>
    </row>
    <row r="317" spans="1:14" ht="16.5" customHeight="1">
      <c r="A317" s="8"/>
      <c r="N317" s="8"/>
    </row>
    <row r="318" spans="1:14" ht="16.5" customHeight="1">
      <c r="A318" s="8"/>
      <c r="N318" s="8"/>
    </row>
    <row r="319" spans="1:14" ht="16.5" customHeight="1">
      <c r="A319" s="8"/>
      <c r="N319" s="8"/>
    </row>
    <row r="320" spans="1:14" ht="16.5" customHeight="1">
      <c r="A320" s="8"/>
      <c r="N320" s="8"/>
    </row>
    <row r="321" spans="1:14" ht="16.5" customHeight="1">
      <c r="A321" s="8"/>
      <c r="N321" s="8"/>
    </row>
    <row r="322" spans="1:14" ht="16.5" customHeight="1">
      <c r="A322" s="8"/>
      <c r="N322" s="8"/>
    </row>
    <row r="323" spans="1:14" ht="16.5" customHeight="1">
      <c r="A323" s="8"/>
      <c r="N323" s="8"/>
    </row>
    <row r="324" spans="1:14" ht="16.5" customHeight="1">
      <c r="A324" s="8"/>
      <c r="N324" s="8"/>
    </row>
    <row r="325" spans="1:14" ht="16.5" customHeight="1">
      <c r="A325" s="8"/>
      <c r="N325" s="8"/>
    </row>
    <row r="326" spans="1:14" ht="16.5" customHeight="1">
      <c r="A326" s="8"/>
      <c r="N326" s="8"/>
    </row>
    <row r="327" spans="1:14" ht="16.5" customHeight="1">
      <c r="A327" s="8"/>
      <c r="N327" s="8"/>
    </row>
    <row r="328" spans="1:14" ht="16.5" customHeight="1">
      <c r="A328" s="8"/>
      <c r="N328" s="8"/>
    </row>
    <row r="329" spans="1:14" ht="16.5" customHeight="1">
      <c r="A329" s="8"/>
      <c r="N329" s="8"/>
    </row>
    <row r="330" spans="1:14" ht="16.5" customHeight="1">
      <c r="A330" s="8"/>
      <c r="N330" s="8"/>
    </row>
    <row r="331" spans="1:14" ht="16.5" customHeight="1">
      <c r="A331" s="8"/>
      <c r="N331" s="8"/>
    </row>
    <row r="332" spans="1:14" ht="16.5" customHeight="1">
      <c r="A332" s="8"/>
      <c r="N332" s="8"/>
    </row>
    <row r="333" spans="1:14" ht="16.5" customHeight="1">
      <c r="A333" s="8"/>
      <c r="N333" s="8"/>
    </row>
    <row r="334" spans="1:14" ht="16.5" customHeight="1">
      <c r="A334" s="8"/>
      <c r="N334" s="8"/>
    </row>
    <row r="335" spans="1:14" ht="16.5" customHeight="1">
      <c r="A335" s="8"/>
      <c r="N335" s="8"/>
    </row>
    <row r="336" spans="1:14" ht="16.5" customHeight="1">
      <c r="A336" s="8"/>
      <c r="N336" s="8"/>
    </row>
    <row r="337" spans="1:14" ht="16.5" customHeight="1">
      <c r="A337" s="8"/>
      <c r="N337" s="8"/>
    </row>
    <row r="338" spans="1:14" ht="16.5" customHeight="1">
      <c r="A338" s="8"/>
      <c r="N338" s="8"/>
    </row>
    <row r="339" spans="1:14" ht="16.5" customHeight="1">
      <c r="A339" s="8"/>
      <c r="N339" s="8"/>
    </row>
    <row r="340" spans="1:14" ht="16.5" customHeight="1">
      <c r="A340" s="8"/>
      <c r="N340" s="8"/>
    </row>
    <row r="341" spans="1:14" ht="16.5" customHeight="1">
      <c r="A341" s="8"/>
      <c r="N341" s="8"/>
    </row>
    <row r="342" spans="1:14" ht="16.5" customHeight="1">
      <c r="A342" s="8"/>
      <c r="N342" s="8"/>
    </row>
    <row r="343" spans="1:14" ht="16.5" customHeight="1">
      <c r="A343" s="8"/>
      <c r="N343" s="8"/>
    </row>
    <row r="344" spans="1:14" ht="16.5" customHeight="1">
      <c r="A344" s="8"/>
      <c r="N344" s="8"/>
    </row>
    <row r="345" spans="1:14" ht="16.5" customHeight="1">
      <c r="A345" s="8"/>
      <c r="N345" s="8"/>
    </row>
    <row r="346" spans="1:14" ht="16.5" customHeight="1">
      <c r="A346" s="8"/>
      <c r="N346" s="8"/>
    </row>
    <row r="347" spans="1:14" ht="16.5" customHeight="1">
      <c r="A347" s="8"/>
      <c r="N347" s="8"/>
    </row>
    <row r="348" spans="1:14" ht="16.5" customHeight="1">
      <c r="A348" s="8"/>
      <c r="N348" s="8"/>
    </row>
    <row r="349" spans="1:14" ht="16.5" customHeight="1">
      <c r="A349" s="8"/>
      <c r="N349" s="8"/>
    </row>
    <row r="350" spans="1:14" ht="16.5" customHeight="1">
      <c r="A350" s="8"/>
      <c r="N350" s="8"/>
    </row>
    <row r="351" spans="1:14" ht="16.5" customHeight="1">
      <c r="A351" s="8"/>
      <c r="N351" s="8"/>
    </row>
    <row r="352" spans="1:14" ht="16.5" customHeight="1">
      <c r="A352" s="8"/>
      <c r="N352" s="8"/>
    </row>
    <row r="353" spans="1:14" ht="16.5" customHeight="1">
      <c r="A353" s="8"/>
      <c r="N353" s="8"/>
    </row>
    <row r="354" spans="1:14" ht="16.5" customHeight="1">
      <c r="A354" s="8"/>
      <c r="N354" s="8"/>
    </row>
    <row r="355" spans="1:14" ht="16.5" customHeight="1">
      <c r="A355" s="8"/>
      <c r="N355" s="8"/>
    </row>
    <row r="356" spans="1:14" ht="16.5" customHeight="1">
      <c r="A356" s="8"/>
      <c r="N356" s="8"/>
    </row>
    <row r="357" spans="1:14" ht="16.5" customHeight="1">
      <c r="A357" s="8"/>
      <c r="N357" s="8"/>
    </row>
    <row r="358" spans="1:14" ht="16.5" customHeight="1">
      <c r="A358" s="8"/>
      <c r="N358" s="8"/>
    </row>
    <row r="359" spans="1:14" ht="16.5" customHeight="1">
      <c r="A359" s="8"/>
      <c r="N359" s="8"/>
    </row>
    <row r="360" spans="1:14" ht="16.5" customHeight="1">
      <c r="A360" s="8"/>
      <c r="N360" s="8"/>
    </row>
    <row r="361" spans="1:14" ht="16.5" customHeight="1">
      <c r="A361" s="8"/>
      <c r="N361" s="8"/>
    </row>
    <row r="362" spans="1:14" ht="16.5" customHeight="1">
      <c r="A362" s="8"/>
      <c r="N362" s="8"/>
    </row>
    <row r="363" spans="1:14" ht="16.5" customHeight="1">
      <c r="A363" s="8"/>
      <c r="N363" s="8"/>
    </row>
    <row r="364" spans="1:14" ht="16.5" customHeight="1">
      <c r="A364" s="8"/>
      <c r="N364" s="8"/>
    </row>
    <row r="365" spans="1:14" ht="16.5" customHeight="1">
      <c r="A365" s="8"/>
      <c r="N365" s="8"/>
    </row>
    <row r="366" spans="1:14" ht="16.5" customHeight="1">
      <c r="A366" s="8"/>
      <c r="N366" s="8"/>
    </row>
    <row r="367" spans="1:14" ht="16.5" customHeight="1">
      <c r="A367" s="8"/>
      <c r="N367" s="8"/>
    </row>
    <row r="368" spans="1:14" ht="16.5" customHeight="1">
      <c r="A368" s="8"/>
      <c r="N368" s="8"/>
    </row>
    <row r="369" spans="1:14" ht="16.5" customHeight="1">
      <c r="A369" s="8"/>
      <c r="N369" s="8"/>
    </row>
    <row r="370" spans="1:14" ht="16.5" customHeight="1">
      <c r="A370" s="8"/>
      <c r="N370" s="8"/>
    </row>
    <row r="371" spans="1:14" ht="16.5" customHeight="1">
      <c r="A371" s="8"/>
      <c r="N371" s="8"/>
    </row>
    <row r="372" spans="1:14" ht="16.5" customHeight="1">
      <c r="A372" s="8"/>
      <c r="N372" s="8"/>
    </row>
    <row r="373" spans="1:14" ht="16.5" customHeight="1">
      <c r="A373" s="8"/>
      <c r="N373" s="8"/>
    </row>
    <row r="374" spans="1:14" ht="16.5" customHeight="1">
      <c r="A374" s="8"/>
      <c r="N374" s="8"/>
    </row>
    <row r="375" spans="1:14" ht="16.5" customHeight="1">
      <c r="A375" s="8"/>
      <c r="N375" s="8"/>
    </row>
    <row r="376" spans="1:14" ht="16.5" customHeight="1">
      <c r="A376" s="8"/>
      <c r="N376" s="8"/>
    </row>
    <row r="377" spans="1:14" ht="16.5" customHeight="1">
      <c r="A377" s="8"/>
      <c r="N377" s="8"/>
    </row>
    <row r="378" spans="1:14" ht="16.5" customHeight="1">
      <c r="A378" s="8"/>
      <c r="N378" s="8"/>
    </row>
    <row r="379" spans="1:14" ht="16.5" customHeight="1">
      <c r="A379" s="8"/>
      <c r="N379" s="8"/>
    </row>
    <row r="380" spans="1:14" ht="16.5" customHeight="1">
      <c r="A380" s="8"/>
      <c r="N380" s="8"/>
    </row>
    <row r="381" spans="1:14" ht="16.5" customHeight="1">
      <c r="A381" s="8"/>
      <c r="N381" s="8"/>
    </row>
    <row r="382" spans="1:14" ht="16.5" customHeight="1">
      <c r="A382" s="8"/>
      <c r="N382" s="8"/>
    </row>
    <row r="383" spans="1:14" ht="16.5" customHeight="1">
      <c r="A383" s="8"/>
      <c r="N383" s="8"/>
    </row>
    <row r="384" spans="1:14" ht="16.5" customHeight="1">
      <c r="A384" s="8"/>
      <c r="N384" s="8"/>
    </row>
    <row r="385" spans="1:14" ht="16.5" customHeight="1">
      <c r="A385" s="8"/>
      <c r="N385" s="8"/>
    </row>
    <row r="386" spans="1:14" ht="16.5" customHeight="1">
      <c r="A386" s="8"/>
      <c r="N386" s="8"/>
    </row>
    <row r="387" spans="1:14" ht="16.5" customHeight="1">
      <c r="A387" s="8"/>
      <c r="N387" s="8"/>
    </row>
    <row r="388" spans="1:14" ht="16.5" customHeight="1">
      <c r="A388" s="8"/>
      <c r="N388" s="8"/>
    </row>
    <row r="389" spans="1:14" ht="16.5" customHeight="1">
      <c r="A389" s="8"/>
      <c r="N389" s="8"/>
    </row>
    <row r="390" spans="1:14" ht="16.5" customHeight="1">
      <c r="A390" s="8"/>
      <c r="N390" s="8"/>
    </row>
    <row r="391" spans="1:14" ht="16.5" customHeight="1">
      <c r="A391" s="8"/>
      <c r="N391" s="8"/>
    </row>
    <row r="392" spans="1:14" ht="16.5" customHeight="1">
      <c r="A392" s="8"/>
      <c r="N392" s="8"/>
    </row>
    <row r="393" spans="1:14" ht="16.5" customHeight="1">
      <c r="A393" s="8"/>
      <c r="N393" s="8"/>
    </row>
    <row r="394" spans="1:14" ht="16.5" customHeight="1">
      <c r="A394" s="8"/>
      <c r="N394" s="8"/>
    </row>
    <row r="395" spans="1:14" ht="16.5" customHeight="1">
      <c r="A395" s="8"/>
      <c r="N395" s="8"/>
    </row>
    <row r="396" spans="1:14" ht="16.5" customHeight="1">
      <c r="A396" s="8"/>
      <c r="N396" s="8"/>
    </row>
    <row r="397" spans="1:14" ht="16.5" customHeight="1">
      <c r="A397" s="8"/>
      <c r="N397" s="8"/>
    </row>
    <row r="398" spans="1:14" ht="16.5" customHeight="1">
      <c r="A398" s="8"/>
      <c r="N398" s="8"/>
    </row>
    <row r="399" spans="1:14" ht="16.5" customHeight="1">
      <c r="A399" s="8"/>
      <c r="N399" s="8"/>
    </row>
    <row r="400" spans="1:14" ht="16.5" customHeight="1">
      <c r="A400" s="8"/>
      <c r="N400" s="8"/>
    </row>
    <row r="401" spans="1:14" ht="16.5" customHeight="1">
      <c r="A401" s="8"/>
      <c r="N401" s="8"/>
    </row>
    <row r="402" spans="1:14" ht="16.5" customHeight="1">
      <c r="A402" s="8"/>
      <c r="N402" s="8"/>
    </row>
    <row r="403" spans="1:14" ht="16.5" customHeight="1">
      <c r="A403" s="8"/>
      <c r="N403" s="8"/>
    </row>
    <row r="404" spans="1:14" ht="16.5" customHeight="1">
      <c r="A404" s="8"/>
      <c r="N404" s="8"/>
    </row>
    <row r="405" spans="1:14" ht="16.5" customHeight="1">
      <c r="A405" s="8"/>
      <c r="N405" s="8"/>
    </row>
    <row r="406" spans="1:14" ht="16.5" customHeight="1">
      <c r="A406" s="8"/>
      <c r="N406" s="8"/>
    </row>
    <row r="407" spans="1:14" ht="16.5" customHeight="1">
      <c r="A407" s="8"/>
      <c r="N407" s="8"/>
    </row>
    <row r="408" spans="1:14" ht="16.5" customHeight="1">
      <c r="A408" s="8"/>
      <c r="N408" s="8"/>
    </row>
    <row r="409" spans="1:14" ht="16.5" customHeight="1">
      <c r="A409" s="8"/>
      <c r="N409" s="8"/>
    </row>
    <row r="410" spans="1:14" ht="16.5" customHeight="1">
      <c r="A410" s="8"/>
      <c r="N410" s="8"/>
    </row>
    <row r="411" spans="1:14" ht="16.5" customHeight="1">
      <c r="A411" s="8"/>
      <c r="N411" s="8"/>
    </row>
    <row r="412" spans="1:14" ht="16.5" customHeight="1">
      <c r="A412" s="8"/>
      <c r="N412" s="8"/>
    </row>
    <row r="413" spans="1:14" ht="16.5" customHeight="1">
      <c r="A413" s="8"/>
      <c r="N413" s="8"/>
    </row>
    <row r="414" spans="1:14" ht="16.5" customHeight="1">
      <c r="A414" s="8"/>
      <c r="N414" s="8"/>
    </row>
    <row r="415" spans="1:14" ht="16.5" customHeight="1">
      <c r="A415" s="8"/>
      <c r="N415" s="8"/>
    </row>
    <row r="416" spans="1:14" ht="16.5" customHeight="1">
      <c r="A416" s="8"/>
      <c r="N416" s="8"/>
    </row>
    <row r="417" spans="1:14" ht="16.5" customHeight="1">
      <c r="A417" s="8"/>
      <c r="N417" s="8"/>
    </row>
    <row r="418" spans="1:14" ht="16.5" customHeight="1">
      <c r="A418" s="8"/>
      <c r="N418" s="8"/>
    </row>
    <row r="419" spans="1:14" ht="16.5" customHeight="1">
      <c r="A419" s="8"/>
      <c r="N419" s="8"/>
    </row>
    <row r="420" spans="1:14" ht="16.5" customHeight="1">
      <c r="A420" s="8"/>
      <c r="N420" s="8"/>
    </row>
    <row r="421" spans="1:14" ht="16.5" customHeight="1">
      <c r="A421" s="8"/>
      <c r="N421" s="8"/>
    </row>
    <row r="422" spans="1:14" ht="16.5" customHeight="1">
      <c r="A422" s="8"/>
      <c r="N422" s="8"/>
    </row>
    <row r="423" spans="1:14" ht="16.5" customHeight="1">
      <c r="A423" s="8"/>
      <c r="N423" s="8"/>
    </row>
    <row r="424" spans="1:14" ht="16.5" customHeight="1">
      <c r="A424" s="8"/>
      <c r="N424" s="8"/>
    </row>
    <row r="425" spans="1:14" ht="16.5" customHeight="1">
      <c r="A425" s="8"/>
      <c r="N425" s="8"/>
    </row>
    <row r="426" spans="1:14" ht="16.5" customHeight="1">
      <c r="A426" s="8"/>
      <c r="N426" s="8"/>
    </row>
    <row r="427" spans="1:14" ht="16.5" customHeight="1">
      <c r="A427" s="8"/>
      <c r="N427" s="8"/>
    </row>
    <row r="428" spans="1:14" ht="16.5" customHeight="1">
      <c r="A428" s="8"/>
      <c r="N428" s="8"/>
    </row>
    <row r="429" spans="1:14" ht="16.5" customHeight="1">
      <c r="A429" s="8"/>
      <c r="N429" s="8"/>
    </row>
    <row r="430" spans="1:14" ht="16.5" customHeight="1">
      <c r="A430" s="8"/>
      <c r="N430" s="8"/>
    </row>
    <row r="431" spans="1:14" ht="16.5" customHeight="1">
      <c r="A431" s="8"/>
      <c r="N431" s="8"/>
    </row>
    <row r="432" spans="1:14" ht="16.5" customHeight="1">
      <c r="A432" s="8"/>
      <c r="N432" s="8"/>
    </row>
    <row r="433" spans="1:14" ht="16.5" customHeight="1">
      <c r="A433" s="8"/>
      <c r="N433" s="8"/>
    </row>
    <row r="434" spans="1:14" ht="16.5" customHeight="1">
      <c r="A434" s="8"/>
      <c r="N434" s="8"/>
    </row>
    <row r="435" spans="1:14" ht="16.5" customHeight="1">
      <c r="A435" s="8"/>
      <c r="N435" s="8"/>
    </row>
    <row r="436" spans="1:14" ht="16.5" customHeight="1">
      <c r="A436" s="8"/>
      <c r="N436" s="8"/>
    </row>
    <row r="437" spans="1:14" ht="16.5" customHeight="1">
      <c r="A437" s="8"/>
      <c r="N437" s="8"/>
    </row>
    <row r="438" spans="1:14" ht="16.5" customHeight="1">
      <c r="A438" s="8"/>
      <c r="N438" s="8"/>
    </row>
    <row r="439" spans="1:14" ht="16.5" customHeight="1">
      <c r="A439" s="8"/>
      <c r="N439" s="8"/>
    </row>
    <row r="440" spans="1:14" ht="16.5" customHeight="1">
      <c r="A440" s="8"/>
      <c r="N440" s="8"/>
    </row>
    <row r="441" spans="1:14" ht="16.5" customHeight="1">
      <c r="A441" s="8"/>
      <c r="N441" s="8"/>
    </row>
    <row r="442" spans="1:14" ht="16.5" customHeight="1">
      <c r="A442" s="8"/>
      <c r="N442" s="8"/>
    </row>
    <row r="443" spans="1:14" ht="16.5" customHeight="1">
      <c r="A443" s="8"/>
      <c r="N443" s="8"/>
    </row>
    <row r="444" spans="1:14" ht="16.5" customHeight="1">
      <c r="A444" s="8"/>
      <c r="N444" s="8"/>
    </row>
    <row r="445" spans="1:14" ht="16.5" customHeight="1">
      <c r="A445" s="8"/>
      <c r="N445" s="8"/>
    </row>
    <row r="446" spans="1:14" ht="16.5" customHeight="1">
      <c r="A446" s="8"/>
      <c r="N446" s="8"/>
    </row>
    <row r="447" spans="1:14" ht="16.5" customHeight="1">
      <c r="A447" s="8"/>
      <c r="N447" s="8"/>
    </row>
    <row r="448" spans="1:14" ht="16.5" customHeight="1">
      <c r="A448" s="8"/>
      <c r="N448" s="8"/>
    </row>
    <row r="449" spans="1:14" ht="16.5" customHeight="1">
      <c r="A449" s="8"/>
      <c r="N449" s="8"/>
    </row>
    <row r="450" spans="1:14" ht="16.5" customHeight="1">
      <c r="A450" s="8"/>
      <c r="N450" s="8"/>
    </row>
    <row r="451" spans="1:14" ht="16.5" customHeight="1">
      <c r="A451" s="8"/>
      <c r="N451" s="8"/>
    </row>
    <row r="452" spans="1:14" ht="16.5" customHeight="1">
      <c r="A452" s="8"/>
      <c r="N452" s="8"/>
    </row>
    <row r="453" spans="1:14" ht="16.5" customHeight="1">
      <c r="A453" s="8"/>
      <c r="N453" s="8"/>
    </row>
    <row r="454" spans="1:14" ht="16.5" customHeight="1">
      <c r="A454" s="8"/>
      <c r="N454" s="8"/>
    </row>
    <row r="455" spans="1:14" ht="16.5" customHeight="1">
      <c r="A455" s="8"/>
      <c r="N455" s="8"/>
    </row>
    <row r="456" spans="1:14" ht="16.5" customHeight="1">
      <c r="A456" s="8"/>
      <c r="N456" s="8"/>
    </row>
    <row r="457" spans="1:14" ht="16.5" customHeight="1">
      <c r="A457" s="8"/>
      <c r="N457" s="8"/>
    </row>
    <row r="458" spans="1:14" ht="16.5" customHeight="1">
      <c r="A458" s="8"/>
      <c r="N458" s="8"/>
    </row>
    <row r="459" spans="1:14" ht="16.5" customHeight="1">
      <c r="A459" s="8"/>
      <c r="N459" s="8"/>
    </row>
    <row r="460" spans="1:14" ht="16.5" customHeight="1">
      <c r="A460" s="8"/>
      <c r="N460" s="8"/>
    </row>
    <row r="461" spans="1:14" ht="16.5" customHeight="1">
      <c r="A461" s="8"/>
      <c r="N461" s="8"/>
    </row>
    <row r="462" spans="1:14" ht="16.5" customHeight="1">
      <c r="A462" s="8"/>
      <c r="N462" s="8"/>
    </row>
    <row r="463" spans="1:14" ht="16.5" customHeight="1">
      <c r="A463" s="8"/>
      <c r="N463" s="8"/>
    </row>
    <row r="464" spans="1:14" ht="16.5" customHeight="1">
      <c r="A464" s="8"/>
      <c r="N464" s="8"/>
    </row>
    <row r="465" spans="1:14" ht="16.5" customHeight="1">
      <c r="A465" s="8"/>
      <c r="N465" s="8"/>
    </row>
    <row r="466" spans="1:14" ht="16.5" customHeight="1">
      <c r="A466" s="8"/>
      <c r="N466" s="8"/>
    </row>
    <row r="467" spans="1:14" ht="16.5" customHeight="1">
      <c r="A467" s="8"/>
      <c r="N467" s="8"/>
    </row>
    <row r="468" spans="1:14" ht="16.5" customHeight="1">
      <c r="A468" s="8"/>
      <c r="N468" s="8"/>
    </row>
    <row r="469" spans="1:14" ht="16.5" customHeight="1">
      <c r="A469" s="8"/>
      <c r="N469" s="8"/>
    </row>
    <row r="470" spans="1:14" ht="16.5" customHeight="1">
      <c r="A470" s="8"/>
      <c r="N470" s="8"/>
    </row>
    <row r="471" spans="1:14" ht="16.5" customHeight="1">
      <c r="A471" s="8"/>
      <c r="N471" s="8"/>
    </row>
    <row r="472" spans="1:14" ht="16.5" customHeight="1">
      <c r="A472" s="8"/>
      <c r="N472" s="8"/>
    </row>
    <row r="473" spans="1:14" ht="16.5" customHeight="1">
      <c r="A473" s="8"/>
      <c r="N473" s="8"/>
    </row>
    <row r="474" spans="1:14" ht="16.5" customHeight="1">
      <c r="A474" s="8"/>
      <c r="N474" s="8"/>
    </row>
    <row r="475" spans="1:14" ht="16.5" customHeight="1">
      <c r="A475" s="8"/>
      <c r="N475" s="8"/>
    </row>
    <row r="476" spans="1:14" ht="16.5" customHeight="1">
      <c r="A476" s="8"/>
      <c r="N476" s="8"/>
    </row>
    <row r="477" spans="1:14" ht="16.5" customHeight="1">
      <c r="A477" s="8"/>
      <c r="N477" s="8"/>
    </row>
    <row r="478" spans="1:14" ht="16.5" customHeight="1">
      <c r="A478" s="8"/>
      <c r="N478" s="8"/>
    </row>
    <row r="479" spans="1:14" ht="16.5" customHeight="1">
      <c r="A479" s="8"/>
      <c r="N479" s="8"/>
    </row>
    <row r="480" spans="1:14" ht="16.5" customHeight="1">
      <c r="A480" s="8"/>
      <c r="N480" s="8"/>
    </row>
    <row r="481" spans="1:14" ht="16.5" customHeight="1">
      <c r="A481" s="8"/>
      <c r="N481" s="8"/>
    </row>
    <row r="482" spans="1:14" ht="16.5" customHeight="1">
      <c r="A482" s="8"/>
      <c r="N482" s="8"/>
    </row>
    <row r="483" spans="1:14" ht="16.5" customHeight="1">
      <c r="A483" s="8"/>
      <c r="N483" s="8"/>
    </row>
    <row r="484" spans="1:14" ht="16.5" customHeight="1">
      <c r="A484" s="8"/>
      <c r="N484" s="8"/>
    </row>
    <row r="485" spans="1:14" ht="16.5" customHeight="1">
      <c r="A485" s="8"/>
      <c r="N485" s="8"/>
    </row>
    <row r="486" spans="1:14" ht="16.5" customHeight="1">
      <c r="A486" s="8"/>
      <c r="N486" s="8"/>
    </row>
    <row r="487" spans="1:14" ht="16.5" customHeight="1">
      <c r="A487" s="8"/>
      <c r="N487" s="8"/>
    </row>
    <row r="488" spans="1:14" ht="16.5" customHeight="1">
      <c r="A488" s="8"/>
      <c r="N488" s="8"/>
    </row>
    <row r="489" spans="1:14" ht="16.5" customHeight="1">
      <c r="A489" s="8"/>
      <c r="N489" s="8"/>
    </row>
    <row r="490" spans="1:14" ht="16.5" customHeight="1">
      <c r="A490" s="8"/>
      <c r="N490" s="8"/>
    </row>
    <row r="491" spans="1:14" ht="16.5" customHeight="1">
      <c r="A491" s="8"/>
      <c r="N491" s="8"/>
    </row>
    <row r="492" spans="1:14" ht="16.5" customHeight="1">
      <c r="A492" s="8"/>
      <c r="N492" s="8"/>
    </row>
    <row r="493" spans="1:14" ht="16.5" customHeight="1">
      <c r="A493" s="8"/>
      <c r="N493" s="8"/>
    </row>
    <row r="494" spans="1:14" ht="16.5" customHeight="1">
      <c r="A494" s="8"/>
      <c r="N494" s="8"/>
    </row>
    <row r="495" spans="1:14" ht="16.5" customHeight="1">
      <c r="A495" s="8"/>
      <c r="N495" s="8"/>
    </row>
    <row r="496" spans="1:14" ht="16.5" customHeight="1">
      <c r="A496" s="8"/>
      <c r="N496" s="8"/>
    </row>
    <row r="497" spans="1:14" ht="16.5" customHeight="1">
      <c r="A497" s="8"/>
      <c r="N497" s="8"/>
    </row>
    <row r="498" spans="1:14" ht="16.5" customHeight="1">
      <c r="A498" s="8"/>
      <c r="N498" s="8"/>
    </row>
    <row r="499" spans="1:14" ht="16.5" customHeight="1">
      <c r="A499" s="8"/>
      <c r="N499" s="8"/>
    </row>
    <row r="500" spans="1:14" ht="16.5" customHeight="1">
      <c r="A500" s="8"/>
      <c r="N500" s="8"/>
    </row>
    <row r="501" spans="1:14" ht="16.5" customHeight="1">
      <c r="A501" s="8"/>
      <c r="N501" s="8"/>
    </row>
    <row r="502" spans="1:14" ht="16.5" customHeight="1">
      <c r="A502" s="8"/>
      <c r="N502" s="8"/>
    </row>
    <row r="503" spans="1:14" ht="16.5" customHeight="1">
      <c r="A503" s="8"/>
      <c r="N503" s="8"/>
    </row>
    <row r="504" spans="1:14" ht="16.5" customHeight="1">
      <c r="A504" s="8"/>
      <c r="N504" s="8"/>
    </row>
    <row r="505" spans="1:14" ht="16.5" customHeight="1">
      <c r="A505" s="8"/>
      <c r="N505" s="8"/>
    </row>
    <row r="506" spans="1:14" ht="16.5" customHeight="1">
      <c r="A506" s="8"/>
      <c r="N506" s="8"/>
    </row>
    <row r="507" spans="1:14" ht="16.5" customHeight="1">
      <c r="A507" s="8"/>
      <c r="N507" s="8"/>
    </row>
    <row r="508" spans="1:14" ht="16.5" customHeight="1">
      <c r="A508" s="8"/>
      <c r="N508" s="8"/>
    </row>
    <row r="509" spans="1:14" ht="16.5" customHeight="1">
      <c r="A509" s="8"/>
      <c r="N509" s="8"/>
    </row>
    <row r="510" spans="1:14" ht="16.5" customHeight="1">
      <c r="A510" s="8"/>
      <c r="N510" s="8"/>
    </row>
    <row r="511" spans="1:14" ht="16.5" customHeight="1">
      <c r="A511" s="8"/>
      <c r="N511" s="8"/>
    </row>
    <row r="512" spans="1:14" ht="16.5" customHeight="1">
      <c r="A512" s="8"/>
      <c r="N512" s="8"/>
    </row>
    <row r="513" spans="1:14" ht="16.5" customHeight="1">
      <c r="A513" s="8"/>
      <c r="N513" s="8"/>
    </row>
    <row r="514" spans="1:14" ht="16.5" customHeight="1">
      <c r="A514" s="8"/>
      <c r="N514" s="8"/>
    </row>
    <row r="515" spans="1:14" ht="16.5" customHeight="1">
      <c r="A515" s="8"/>
      <c r="N515" s="8"/>
    </row>
    <row r="516" spans="1:14" ht="16.5" customHeight="1">
      <c r="A516" s="8"/>
      <c r="N516" s="8"/>
    </row>
    <row r="517" spans="1:14" ht="16.5" customHeight="1">
      <c r="A517" s="8"/>
      <c r="N517" s="8"/>
    </row>
    <row r="518" spans="1:14" ht="16.5" customHeight="1">
      <c r="A518" s="8"/>
      <c r="N518" s="8"/>
    </row>
    <row r="519" spans="1:14" ht="16.5" customHeight="1">
      <c r="A519" s="8"/>
      <c r="N519" s="8"/>
    </row>
    <row r="520" spans="1:14" ht="16.5" customHeight="1">
      <c r="A520" s="8"/>
      <c r="N520" s="8"/>
    </row>
    <row r="521" spans="1:14" ht="16.5" customHeight="1">
      <c r="A521" s="8"/>
      <c r="N521" s="8"/>
    </row>
    <row r="522" spans="1:14" ht="16.5" customHeight="1">
      <c r="A522" s="8"/>
      <c r="N522" s="8"/>
    </row>
    <row r="523" spans="1:14" ht="16.5" customHeight="1">
      <c r="A523" s="8"/>
      <c r="N523" s="8"/>
    </row>
    <row r="524" spans="1:14" ht="16.5" customHeight="1">
      <c r="A524" s="8"/>
      <c r="N524" s="8"/>
    </row>
    <row r="525" spans="1:14" ht="16.5" customHeight="1">
      <c r="A525" s="8"/>
      <c r="N525" s="8"/>
    </row>
    <row r="526" spans="1:14" ht="16.5" customHeight="1">
      <c r="A526" s="8"/>
      <c r="N526" s="8"/>
    </row>
    <row r="527" spans="1:14" ht="16.5" customHeight="1">
      <c r="A527" s="8"/>
      <c r="N527" s="8"/>
    </row>
    <row r="528" spans="1:14" ht="16.5" customHeight="1">
      <c r="A528" s="8"/>
      <c r="N528" s="8"/>
    </row>
    <row r="529" spans="1:14" ht="16.5" customHeight="1">
      <c r="A529" s="8"/>
      <c r="N529" s="8"/>
    </row>
    <row r="530" spans="1:14" ht="16.5" customHeight="1">
      <c r="A530" s="8"/>
      <c r="N530" s="8"/>
    </row>
    <row r="531" spans="1:14" ht="16.5" customHeight="1">
      <c r="A531" s="8"/>
      <c r="N531" s="8"/>
    </row>
    <row r="532" spans="1:14" ht="16.5" customHeight="1">
      <c r="A532" s="8"/>
      <c r="N532" s="8"/>
    </row>
    <row r="533" spans="1:14" ht="16.5" customHeight="1">
      <c r="A533" s="8"/>
      <c r="N533" s="8"/>
    </row>
    <row r="534" spans="1:14" ht="16.5" customHeight="1">
      <c r="A534" s="8"/>
      <c r="N534" s="8"/>
    </row>
    <row r="535" spans="1:14" ht="16.5" customHeight="1">
      <c r="A535" s="8"/>
      <c r="N535" s="8"/>
    </row>
    <row r="536" spans="1:14" ht="16.5" customHeight="1">
      <c r="A536" s="8"/>
      <c r="N536" s="8"/>
    </row>
    <row r="537" spans="1:14" ht="16.5" customHeight="1">
      <c r="A537" s="8"/>
      <c r="N537" s="8"/>
    </row>
    <row r="538" spans="1:14" ht="16.5" customHeight="1">
      <c r="A538" s="8"/>
      <c r="N538" s="8"/>
    </row>
    <row r="539" spans="1:14" ht="16.5" customHeight="1">
      <c r="A539" s="8"/>
      <c r="N539" s="8"/>
    </row>
    <row r="540" spans="1:14" ht="16.5" customHeight="1">
      <c r="A540" s="8"/>
      <c r="N540" s="8"/>
    </row>
    <row r="541" spans="1:14" ht="16.5" customHeight="1">
      <c r="A541" s="8"/>
      <c r="N541" s="8"/>
    </row>
    <row r="542" spans="1:14" ht="16.5" customHeight="1">
      <c r="A542" s="8"/>
      <c r="N542" s="8"/>
    </row>
    <row r="543" spans="1:14" ht="16.5" customHeight="1">
      <c r="A543" s="8"/>
      <c r="N543" s="8"/>
    </row>
    <row r="544" spans="1:14" ht="16.5" customHeight="1">
      <c r="A544" s="8"/>
      <c r="N544" s="8"/>
    </row>
    <row r="545" spans="1:14" ht="16.5" customHeight="1">
      <c r="A545" s="8"/>
      <c r="N545" s="8"/>
    </row>
    <row r="546" spans="1:14" ht="16.5" customHeight="1">
      <c r="A546" s="8"/>
      <c r="N546" s="8"/>
    </row>
    <row r="547" spans="1:14" ht="16.5" customHeight="1">
      <c r="A547" s="8"/>
      <c r="N547" s="8"/>
    </row>
    <row r="548" spans="1:14" ht="16.5" customHeight="1">
      <c r="A548" s="8"/>
      <c r="N548" s="8"/>
    </row>
    <row r="549" spans="1:14" ht="16.5" customHeight="1">
      <c r="A549" s="8"/>
      <c r="N549" s="8"/>
    </row>
    <row r="550" spans="1:14" ht="16.5" customHeight="1">
      <c r="A550" s="8"/>
      <c r="N550" s="8"/>
    </row>
    <row r="551" spans="1:14" ht="16.5" customHeight="1">
      <c r="A551" s="8"/>
      <c r="N551" s="8"/>
    </row>
    <row r="552" spans="1:14" ht="16.5" customHeight="1">
      <c r="A552" s="8"/>
      <c r="N552" s="8"/>
    </row>
    <row r="553" spans="1:14" ht="16.5" customHeight="1">
      <c r="A553" s="8"/>
      <c r="N553" s="8"/>
    </row>
    <row r="554" spans="1:14" ht="16.5" customHeight="1">
      <c r="A554" s="8"/>
      <c r="N554" s="8"/>
    </row>
    <row r="555" spans="1:14" ht="16.5" customHeight="1">
      <c r="A555" s="8"/>
      <c r="N555" s="8"/>
    </row>
    <row r="556" spans="1:14" ht="16.5" customHeight="1">
      <c r="A556" s="8"/>
      <c r="N556" s="8"/>
    </row>
    <row r="557" spans="1:14" ht="16.5" customHeight="1">
      <c r="A557" s="8"/>
      <c r="N557" s="8"/>
    </row>
    <row r="558" spans="1:14" ht="16.5" customHeight="1">
      <c r="A558" s="8"/>
      <c r="N558" s="8"/>
    </row>
    <row r="559" spans="1:14" ht="16.5" customHeight="1">
      <c r="A559" s="8"/>
      <c r="N559" s="8"/>
    </row>
    <row r="560" spans="1:14" ht="16.5" customHeight="1">
      <c r="A560" s="8"/>
      <c r="N560" s="8"/>
    </row>
    <row r="561" spans="1:14" ht="16.5" customHeight="1">
      <c r="A561" s="8"/>
      <c r="N561" s="8"/>
    </row>
    <row r="562" spans="1:14" ht="16.5" customHeight="1">
      <c r="A562" s="8"/>
      <c r="N562" s="8"/>
    </row>
    <row r="563" spans="1:14" ht="16.5" customHeight="1">
      <c r="A563" s="8"/>
      <c r="N563" s="8"/>
    </row>
    <row r="564" spans="1:14" ht="16.5" customHeight="1">
      <c r="A564" s="8"/>
      <c r="N564" s="8"/>
    </row>
    <row r="565" spans="1:14" ht="16.5" customHeight="1">
      <c r="A565" s="8"/>
      <c r="N565" s="8"/>
    </row>
    <row r="566" spans="1:14" ht="16.5" customHeight="1">
      <c r="A566" s="8"/>
      <c r="N566" s="8"/>
    </row>
    <row r="567" spans="1:14" ht="16.5" customHeight="1">
      <c r="A567" s="8"/>
      <c r="N567" s="8"/>
    </row>
    <row r="568" spans="1:14" ht="16.5" customHeight="1">
      <c r="A568" s="8"/>
      <c r="N568" s="8"/>
    </row>
    <row r="569" spans="1:14" ht="16.5" customHeight="1">
      <c r="A569" s="8"/>
      <c r="N569" s="8"/>
    </row>
    <row r="570" spans="1:14" ht="16.5" customHeight="1">
      <c r="A570" s="8"/>
      <c r="N570" s="8"/>
    </row>
    <row r="571" spans="1:14" ht="16.5" customHeight="1">
      <c r="A571" s="8"/>
      <c r="N571" s="8"/>
    </row>
    <row r="572" spans="1:14" ht="16.5" customHeight="1">
      <c r="A572" s="8"/>
      <c r="N572" s="8"/>
    </row>
    <row r="573" spans="1:14" ht="16.5" customHeight="1">
      <c r="A573" s="8"/>
      <c r="N573" s="8"/>
    </row>
    <row r="574" spans="1:14" ht="16.5" customHeight="1">
      <c r="A574" s="8"/>
      <c r="N574" s="8"/>
    </row>
    <row r="575" spans="1:14" ht="16.5" customHeight="1">
      <c r="A575" s="8"/>
      <c r="N575" s="8"/>
    </row>
    <row r="576" spans="1:14" ht="16.5" customHeight="1">
      <c r="A576" s="8"/>
      <c r="N576" s="8"/>
    </row>
    <row r="577" spans="1:14" ht="16.5" customHeight="1">
      <c r="A577" s="8"/>
      <c r="N577" s="8"/>
    </row>
    <row r="578" spans="1:14" ht="16.5" customHeight="1">
      <c r="A578" s="8"/>
      <c r="N578" s="8"/>
    </row>
    <row r="579" spans="1:14" ht="16.5" customHeight="1">
      <c r="A579" s="8"/>
      <c r="N579" s="8"/>
    </row>
    <row r="580" spans="1:14" ht="16.5" customHeight="1">
      <c r="A580" s="8"/>
      <c r="N580" s="8"/>
    </row>
    <row r="581" spans="1:14" ht="16.5" customHeight="1">
      <c r="A581" s="8"/>
      <c r="N581" s="8"/>
    </row>
    <row r="582" spans="1:14" ht="16.5" customHeight="1">
      <c r="A582" s="8"/>
      <c r="N582" s="8"/>
    </row>
    <row r="583" spans="1:14" ht="16.5" customHeight="1">
      <c r="A583" s="8"/>
      <c r="N583" s="8"/>
    </row>
    <row r="584" spans="1:14" ht="16.5" customHeight="1">
      <c r="A584" s="8"/>
      <c r="N584" s="8"/>
    </row>
    <row r="585" spans="1:14" ht="16.5" customHeight="1">
      <c r="A585" s="8"/>
      <c r="N585" s="8"/>
    </row>
    <row r="586" spans="1:14" ht="16.5" customHeight="1">
      <c r="A586" s="8"/>
      <c r="N586" s="8"/>
    </row>
    <row r="587" spans="1:14" ht="16.5" customHeight="1">
      <c r="A587" s="8"/>
      <c r="N587" s="8"/>
    </row>
    <row r="588" spans="1:14" ht="16.5" customHeight="1">
      <c r="A588" s="8"/>
      <c r="N588" s="8"/>
    </row>
    <row r="589" spans="1:14" ht="16.5" customHeight="1">
      <c r="A589" s="8"/>
      <c r="N589" s="8"/>
    </row>
    <row r="590" spans="1:14" ht="16.5" customHeight="1">
      <c r="A590" s="8"/>
      <c r="N590" s="8"/>
    </row>
    <row r="591" spans="1:14" ht="16.5" customHeight="1">
      <c r="A591" s="8"/>
      <c r="N591" s="8"/>
    </row>
    <row r="592" spans="1:14" ht="16.5" customHeight="1">
      <c r="A592" s="8"/>
      <c r="N592" s="8"/>
    </row>
    <row r="593" spans="1:14" ht="16.5" customHeight="1">
      <c r="A593" s="8"/>
      <c r="N593" s="8"/>
    </row>
    <row r="594" spans="1:14" ht="16.5" customHeight="1">
      <c r="A594" s="8"/>
      <c r="N594" s="8"/>
    </row>
    <row r="595" spans="1:14" ht="16.5" customHeight="1">
      <c r="A595" s="8"/>
      <c r="N595" s="8"/>
    </row>
    <row r="596" spans="1:14" ht="16.5" customHeight="1">
      <c r="A596" s="8"/>
      <c r="N596" s="8"/>
    </row>
    <row r="597" spans="1:14" ht="16.5" customHeight="1">
      <c r="A597" s="8"/>
      <c r="N597" s="8"/>
    </row>
    <row r="598" spans="1:14" ht="16.5" customHeight="1">
      <c r="A598" s="8"/>
      <c r="N598" s="8"/>
    </row>
    <row r="599" spans="1:14" ht="16.5" customHeight="1">
      <c r="A599" s="8"/>
      <c r="N599" s="8"/>
    </row>
    <row r="600" spans="1:14" ht="16.5" customHeight="1">
      <c r="A600" s="8"/>
      <c r="N600" s="8"/>
    </row>
    <row r="601" spans="1:14" ht="16.5" customHeight="1">
      <c r="A601" s="8"/>
      <c r="N601" s="8"/>
    </row>
    <row r="602" spans="1:14" ht="16.5" customHeight="1">
      <c r="A602" s="8"/>
      <c r="N602" s="8"/>
    </row>
    <row r="603" spans="1:14" ht="16.5" customHeight="1">
      <c r="A603" s="8"/>
      <c r="N603" s="8"/>
    </row>
    <row r="604" spans="1:14" ht="16.5" customHeight="1">
      <c r="A604" s="8"/>
      <c r="N604" s="8"/>
    </row>
    <row r="605" spans="1:14" ht="16.5" customHeight="1">
      <c r="A605" s="8"/>
      <c r="N605" s="8"/>
    </row>
    <row r="606" spans="1:14" ht="16.5" customHeight="1">
      <c r="A606" s="8"/>
      <c r="N606" s="8"/>
    </row>
    <row r="607" spans="1:14" ht="16.5" customHeight="1">
      <c r="A607" s="8"/>
      <c r="N607" s="8"/>
    </row>
    <row r="608" spans="1:14" ht="16.5" customHeight="1">
      <c r="A608" s="8"/>
      <c r="N608" s="8"/>
    </row>
    <row r="609" spans="1:14" ht="16.5" customHeight="1">
      <c r="A609" s="8"/>
      <c r="N609" s="8"/>
    </row>
    <row r="610" spans="1:14" ht="16.5" customHeight="1">
      <c r="A610" s="8"/>
      <c r="N610" s="8"/>
    </row>
    <row r="611" spans="1:14" ht="16.5" customHeight="1">
      <c r="A611" s="8"/>
      <c r="N611" s="8"/>
    </row>
    <row r="612" spans="1:14" ht="16.5" customHeight="1">
      <c r="A612" s="8"/>
      <c r="N612" s="8"/>
    </row>
    <row r="613" spans="1:14" ht="16.5" customHeight="1">
      <c r="A613" s="8"/>
      <c r="N613" s="8"/>
    </row>
    <row r="614" spans="1:14" ht="16.5" customHeight="1">
      <c r="A614" s="8"/>
      <c r="N614" s="8"/>
    </row>
    <row r="615" spans="1:14" ht="16.5" customHeight="1">
      <c r="A615" s="8"/>
      <c r="N615" s="8"/>
    </row>
    <row r="616" spans="1:14" ht="16.5" customHeight="1">
      <c r="A616" s="8"/>
      <c r="N616" s="8"/>
    </row>
    <row r="617" spans="1:14" ht="16.5" customHeight="1">
      <c r="A617" s="8"/>
      <c r="N617" s="8"/>
    </row>
    <row r="618" spans="1:14" ht="16.5" customHeight="1">
      <c r="A618" s="8"/>
      <c r="N618" s="8"/>
    </row>
    <row r="619" spans="1:14" ht="16.5" customHeight="1">
      <c r="A619" s="8"/>
      <c r="N619" s="8"/>
    </row>
    <row r="620" spans="1:14" ht="16.5" customHeight="1">
      <c r="A620" s="8"/>
      <c r="N620" s="8"/>
    </row>
    <row r="621" spans="1:14" ht="16.5" customHeight="1">
      <c r="A621" s="8"/>
      <c r="N621" s="8"/>
    </row>
    <row r="622" spans="1:14" ht="16.5" customHeight="1">
      <c r="A622" s="8"/>
      <c r="N622" s="8"/>
    </row>
    <row r="623" spans="1:14" ht="16.5" customHeight="1">
      <c r="A623" s="8"/>
      <c r="N623" s="8"/>
    </row>
    <row r="624" spans="1:14" ht="16.5" customHeight="1">
      <c r="A624" s="8"/>
      <c r="N624" s="8"/>
    </row>
    <row r="625" spans="1:14" ht="16.5" customHeight="1">
      <c r="A625" s="8"/>
      <c r="N625" s="8"/>
    </row>
    <row r="626" spans="1:14" ht="16.5" customHeight="1">
      <c r="A626" s="8"/>
      <c r="N626" s="8"/>
    </row>
    <row r="627" spans="1:14" ht="16.5" customHeight="1">
      <c r="A627" s="8"/>
      <c r="N627" s="8"/>
    </row>
    <row r="628" spans="1:14" ht="16.5" customHeight="1">
      <c r="A628" s="8"/>
      <c r="N628" s="8"/>
    </row>
    <row r="629" spans="1:14" ht="16.5" customHeight="1">
      <c r="A629" s="8"/>
      <c r="N629" s="8"/>
    </row>
    <row r="630" spans="1:14" ht="16.5" customHeight="1">
      <c r="A630" s="8"/>
      <c r="N630" s="8"/>
    </row>
    <row r="631" spans="1:14" ht="16.5" customHeight="1">
      <c r="A631" s="8"/>
      <c r="N631" s="8"/>
    </row>
    <row r="632" spans="1:14" ht="16.5" customHeight="1">
      <c r="A632" s="8"/>
      <c r="N632" s="8"/>
    </row>
    <row r="633" spans="1:14" ht="16.5" customHeight="1">
      <c r="A633" s="8"/>
      <c r="N633" s="8"/>
    </row>
    <row r="634" spans="1:14" ht="16.5" customHeight="1">
      <c r="A634" s="8"/>
      <c r="N634" s="8"/>
    </row>
    <row r="635" spans="1:14" ht="16.5" customHeight="1">
      <c r="A635" s="8"/>
      <c r="N635" s="8"/>
    </row>
    <row r="636" spans="1:14" ht="16.5" customHeight="1">
      <c r="A636" s="8"/>
      <c r="N636" s="8"/>
    </row>
    <row r="637" spans="1:14" ht="16.5" customHeight="1">
      <c r="A637" s="8"/>
      <c r="N637" s="8"/>
    </row>
    <row r="638" spans="1:14" ht="16.5" customHeight="1">
      <c r="A638" s="8"/>
      <c r="N638" s="8"/>
    </row>
    <row r="639" spans="1:14" ht="16.5" customHeight="1">
      <c r="A639" s="8"/>
      <c r="N639" s="8"/>
    </row>
    <row r="640" spans="1:14" ht="16.5" customHeight="1">
      <c r="A640" s="8"/>
      <c r="N640" s="8"/>
    </row>
    <row r="641" spans="1:14" ht="16.5" customHeight="1">
      <c r="A641" s="8"/>
      <c r="N641" s="8"/>
    </row>
    <row r="642" spans="1:14" ht="16.5" customHeight="1">
      <c r="A642" s="8"/>
      <c r="N642" s="8"/>
    </row>
    <row r="643" spans="1:14" ht="16.5" customHeight="1">
      <c r="A643" s="8"/>
      <c r="N643" s="8"/>
    </row>
    <row r="644" spans="1:14" ht="16.5" customHeight="1">
      <c r="A644" s="8"/>
      <c r="N644" s="8"/>
    </row>
    <row r="645" spans="1:14" ht="16.5" customHeight="1">
      <c r="A645" s="8"/>
      <c r="N645" s="8"/>
    </row>
    <row r="646" spans="1:14" ht="16.5" customHeight="1">
      <c r="A646" s="8"/>
      <c r="N646" s="8"/>
    </row>
    <row r="647" spans="1:14" ht="16.5" customHeight="1">
      <c r="A647" s="8"/>
      <c r="N647" s="8"/>
    </row>
    <row r="648" spans="1:14" ht="16.5" customHeight="1">
      <c r="A648" s="8"/>
      <c r="N648" s="8"/>
    </row>
    <row r="649" spans="1:14" ht="16.5" customHeight="1">
      <c r="A649" s="8"/>
      <c r="N649" s="8"/>
    </row>
    <row r="650" spans="1:14" ht="16.5" customHeight="1">
      <c r="A650" s="8"/>
      <c r="N650" s="8"/>
    </row>
    <row r="651" spans="1:14" ht="16.5" customHeight="1">
      <c r="A651" s="8"/>
      <c r="N651" s="8"/>
    </row>
    <row r="652" spans="1:14" ht="16.5" customHeight="1">
      <c r="A652" s="8"/>
      <c r="N652" s="8"/>
    </row>
    <row r="653" spans="1:14" ht="16.5" customHeight="1">
      <c r="A653" s="8"/>
      <c r="N653" s="8"/>
    </row>
    <row r="654" spans="1:14" ht="16.5" customHeight="1">
      <c r="A654" s="8"/>
      <c r="N654" s="8"/>
    </row>
    <row r="655" spans="1:14" ht="16.5" customHeight="1">
      <c r="A655" s="8"/>
      <c r="N655" s="8"/>
    </row>
    <row r="656" spans="1:14" ht="16.5" customHeight="1">
      <c r="A656" s="8"/>
      <c r="N656" s="8"/>
    </row>
    <row r="657" spans="1:14" ht="16.5" customHeight="1">
      <c r="A657" s="8"/>
      <c r="N657" s="8"/>
    </row>
    <row r="658" spans="1:14" ht="16.5" customHeight="1">
      <c r="A658" s="8"/>
      <c r="N658" s="8"/>
    </row>
    <row r="659" spans="1:14" ht="16.5" customHeight="1">
      <c r="A659" s="8"/>
      <c r="N659" s="8"/>
    </row>
    <row r="660" spans="1:14" ht="16.5" customHeight="1">
      <c r="A660" s="8"/>
      <c r="N660" s="8"/>
    </row>
    <row r="661" spans="1:14" ht="16.5" customHeight="1">
      <c r="A661" s="8"/>
      <c r="N661" s="8"/>
    </row>
    <row r="662" spans="1:14" ht="16.5" customHeight="1">
      <c r="A662" s="8"/>
      <c r="N662" s="8"/>
    </row>
    <row r="663" spans="1:14" ht="16.5" customHeight="1">
      <c r="A663" s="8"/>
      <c r="N663" s="8"/>
    </row>
    <row r="664" spans="1:14" ht="16.5" customHeight="1">
      <c r="A664" s="8"/>
      <c r="N664" s="8"/>
    </row>
    <row r="665" spans="1:14" ht="16.5" customHeight="1">
      <c r="A665" s="8"/>
      <c r="N665" s="8"/>
    </row>
    <row r="666" spans="1:14" ht="16.5" customHeight="1">
      <c r="A666" s="8"/>
      <c r="N666" s="8"/>
    </row>
    <row r="667" spans="1:14" ht="16.5" customHeight="1">
      <c r="A667" s="8"/>
      <c r="N667" s="8"/>
    </row>
    <row r="668" spans="1:14" ht="16.5" customHeight="1">
      <c r="A668" s="8"/>
      <c r="N668" s="8"/>
    </row>
    <row r="669" spans="1:14" ht="16.5" customHeight="1">
      <c r="A669" s="8"/>
      <c r="N669" s="8"/>
    </row>
    <row r="670" spans="1:14" ht="16.5" customHeight="1">
      <c r="A670" s="8"/>
      <c r="N670" s="8"/>
    </row>
    <row r="671" spans="1:14" ht="16.5" customHeight="1">
      <c r="A671" s="8"/>
      <c r="N671" s="8"/>
    </row>
    <row r="672" spans="1:14" ht="16.5" customHeight="1">
      <c r="A672" s="8"/>
      <c r="N672" s="8"/>
    </row>
    <row r="673" spans="1:14" ht="16.5" customHeight="1">
      <c r="A673" s="8"/>
      <c r="N673" s="8"/>
    </row>
    <row r="674" spans="1:14" ht="16.5" customHeight="1">
      <c r="A674" s="8"/>
      <c r="N674" s="8"/>
    </row>
    <row r="675" spans="1:14" ht="16.5" customHeight="1">
      <c r="A675" s="8"/>
      <c r="N675" s="8"/>
    </row>
    <row r="676" spans="1:14" ht="16.5" customHeight="1">
      <c r="A676" s="8"/>
      <c r="N676" s="8"/>
    </row>
    <row r="677" spans="1:14" ht="16.5" customHeight="1">
      <c r="A677" s="8"/>
      <c r="N677" s="8"/>
    </row>
    <row r="678" spans="1:14" ht="16.5" customHeight="1">
      <c r="A678" s="8"/>
      <c r="N678" s="8"/>
    </row>
    <row r="679" spans="1:14" ht="16.5" customHeight="1">
      <c r="A679" s="8"/>
      <c r="N679" s="8"/>
    </row>
    <row r="680" spans="1:14" ht="16.5" customHeight="1">
      <c r="A680" s="8"/>
      <c r="N680" s="8"/>
    </row>
    <row r="681" spans="1:14" ht="16.5" customHeight="1">
      <c r="A681" s="8"/>
      <c r="N681" s="8"/>
    </row>
    <row r="682" spans="1:14" ht="16.5" customHeight="1">
      <c r="A682" s="8"/>
      <c r="N682" s="8"/>
    </row>
    <row r="683" spans="1:14" ht="16.5" customHeight="1">
      <c r="A683" s="8"/>
      <c r="N683" s="8"/>
    </row>
    <row r="684" spans="1:14" ht="16.5" customHeight="1">
      <c r="A684" s="8"/>
      <c r="N684" s="8"/>
    </row>
    <row r="685" spans="1:14" ht="16.5" customHeight="1">
      <c r="A685" s="8"/>
      <c r="N685" s="8"/>
    </row>
    <row r="686" spans="1:14" ht="16.5" customHeight="1">
      <c r="A686" s="8"/>
      <c r="N686" s="8"/>
    </row>
    <row r="687" spans="1:14" ht="16.5" customHeight="1">
      <c r="A687" s="8"/>
      <c r="N687" s="8"/>
    </row>
    <row r="688" spans="1:14" ht="16.5" customHeight="1">
      <c r="A688" s="8"/>
      <c r="N688" s="8"/>
    </row>
    <row r="689" spans="1:14" ht="16.5" customHeight="1">
      <c r="A689" s="8"/>
      <c r="N689" s="8"/>
    </row>
    <row r="690" spans="1:14" ht="16.5" customHeight="1">
      <c r="A690" s="8"/>
      <c r="N690" s="8"/>
    </row>
    <row r="691" spans="1:14" ht="16.5" customHeight="1">
      <c r="A691" s="8"/>
      <c r="N691" s="8"/>
    </row>
    <row r="692" spans="1:14" ht="16.5" customHeight="1">
      <c r="A692" s="8"/>
      <c r="N692" s="8"/>
    </row>
    <row r="693" spans="1:14" ht="16.5" customHeight="1">
      <c r="A693" s="8"/>
      <c r="N693" s="8"/>
    </row>
    <row r="694" spans="1:14" ht="16.5" customHeight="1">
      <c r="A694" s="8"/>
      <c r="N694" s="8"/>
    </row>
    <row r="695" spans="1:14" ht="16.5" customHeight="1">
      <c r="A695" s="8"/>
      <c r="N695" s="8"/>
    </row>
    <row r="696" spans="1:14" ht="16.5" customHeight="1">
      <c r="A696" s="8"/>
      <c r="N696" s="8"/>
    </row>
    <row r="697" spans="1:14" ht="16.5" customHeight="1">
      <c r="A697" s="8"/>
      <c r="N697" s="8"/>
    </row>
    <row r="698" spans="1:14" ht="16.5" customHeight="1">
      <c r="A698" s="8"/>
      <c r="N698" s="8"/>
    </row>
    <row r="699" spans="1:14" ht="16.5" customHeight="1">
      <c r="A699" s="8"/>
      <c r="N699" s="8"/>
    </row>
    <row r="700" spans="1:14" ht="16.5" customHeight="1">
      <c r="A700" s="8"/>
      <c r="N700" s="8"/>
    </row>
    <row r="701" spans="1:14" ht="16.5" customHeight="1">
      <c r="A701" s="8"/>
      <c r="N701" s="8"/>
    </row>
    <row r="702" spans="1:14" ht="16.5" customHeight="1">
      <c r="A702" s="8"/>
      <c r="N702" s="8"/>
    </row>
    <row r="703" spans="1:14" ht="16.5" customHeight="1">
      <c r="A703" s="8"/>
      <c r="N703" s="8"/>
    </row>
    <row r="704" spans="1:14" ht="16.5" customHeight="1">
      <c r="A704" s="8"/>
      <c r="N704" s="8"/>
    </row>
    <row r="705" spans="1:14" ht="16.5" customHeight="1">
      <c r="A705" s="8"/>
      <c r="N705" s="8"/>
    </row>
    <row r="706" spans="1:14" ht="16.5" customHeight="1">
      <c r="A706" s="8"/>
      <c r="N706" s="8"/>
    </row>
    <row r="707" spans="1:14" ht="16.5" customHeight="1">
      <c r="A707" s="8"/>
      <c r="N707" s="8"/>
    </row>
    <row r="708" spans="1:14" ht="16.5" customHeight="1">
      <c r="A708" s="8"/>
      <c r="N708" s="8"/>
    </row>
    <row r="709" spans="1:14" ht="16.5" customHeight="1">
      <c r="A709" s="8"/>
      <c r="N709" s="8"/>
    </row>
    <row r="710" spans="1:14" ht="16.5" customHeight="1">
      <c r="A710" s="8"/>
      <c r="N710" s="8"/>
    </row>
    <row r="711" spans="1:14" ht="16.5" customHeight="1">
      <c r="A711" s="8"/>
      <c r="N711" s="8"/>
    </row>
    <row r="712" spans="1:14" ht="16.5" customHeight="1">
      <c r="A712" s="8"/>
      <c r="N712" s="8"/>
    </row>
    <row r="713" spans="1:14" ht="16.5" customHeight="1">
      <c r="A713" s="8"/>
      <c r="N713" s="8"/>
    </row>
    <row r="714" spans="1:14" ht="16.5" customHeight="1">
      <c r="A714" s="8"/>
      <c r="N714" s="8"/>
    </row>
    <row r="715" spans="1:14" ht="16.5" customHeight="1">
      <c r="A715" s="8"/>
      <c r="N715" s="8"/>
    </row>
    <row r="716" spans="1:14" ht="16.5" customHeight="1">
      <c r="A716" s="8"/>
      <c r="N716" s="8"/>
    </row>
    <row r="717" spans="1:14" ht="16.5" customHeight="1">
      <c r="A717" s="8"/>
      <c r="N717" s="8"/>
    </row>
    <row r="718" spans="1:14" ht="16.5" customHeight="1">
      <c r="A718" s="8"/>
      <c r="N718" s="8"/>
    </row>
    <row r="719" spans="1:14" ht="16.5" customHeight="1">
      <c r="A719" s="8"/>
      <c r="N719" s="8"/>
    </row>
    <row r="720" spans="1:14" ht="16.5" customHeight="1">
      <c r="A720" s="8"/>
      <c r="N720" s="8"/>
    </row>
    <row r="721" spans="1:14" ht="16.5" customHeight="1">
      <c r="A721" s="8"/>
      <c r="N721" s="8"/>
    </row>
    <row r="722" spans="1:14" ht="16.5" customHeight="1">
      <c r="A722" s="8"/>
      <c r="N722" s="8"/>
    </row>
    <row r="723" spans="1:14" ht="16.5" customHeight="1">
      <c r="A723" s="8"/>
      <c r="N723" s="8"/>
    </row>
    <row r="724" spans="1:14" ht="16.5" customHeight="1">
      <c r="A724" s="8"/>
      <c r="N724" s="8"/>
    </row>
    <row r="725" spans="1:14" ht="16.5" customHeight="1">
      <c r="A725" s="8"/>
      <c r="N725" s="8"/>
    </row>
    <row r="726" spans="1:14" ht="16.5" customHeight="1">
      <c r="A726" s="8"/>
      <c r="N726" s="8"/>
    </row>
    <row r="727" spans="1:14" ht="16.5" customHeight="1">
      <c r="A727" s="8"/>
      <c r="N727" s="8"/>
    </row>
    <row r="728" spans="1:14" ht="16.5" customHeight="1">
      <c r="A728" s="8"/>
      <c r="N728" s="8"/>
    </row>
    <row r="729" spans="1:14" ht="16.5" customHeight="1">
      <c r="A729" s="8"/>
      <c r="N729" s="8"/>
    </row>
    <row r="730" spans="1:14" ht="16.5" customHeight="1">
      <c r="A730" s="8"/>
      <c r="N730" s="8"/>
    </row>
    <row r="731" spans="1:14" ht="16.5" customHeight="1">
      <c r="A731" s="8"/>
      <c r="N731" s="8"/>
    </row>
    <row r="732" spans="1:14" ht="16.5" customHeight="1">
      <c r="A732" s="8"/>
      <c r="N732" s="8"/>
    </row>
    <row r="733" spans="1:14" ht="16.5" customHeight="1">
      <c r="A733" s="8"/>
      <c r="N733" s="8"/>
    </row>
    <row r="734" spans="1:14" ht="16.5" customHeight="1">
      <c r="A734" s="8"/>
      <c r="N734" s="8"/>
    </row>
    <row r="735" spans="1:14" ht="16.5" customHeight="1">
      <c r="A735" s="8"/>
      <c r="N735" s="8"/>
    </row>
    <row r="736" spans="1:14" ht="16.5" customHeight="1">
      <c r="A736" s="8"/>
      <c r="N736" s="8"/>
    </row>
    <row r="737" spans="1:14" ht="16.5" customHeight="1">
      <c r="A737" s="8"/>
      <c r="N737" s="8"/>
    </row>
    <row r="738" spans="1:14" ht="16.5" customHeight="1">
      <c r="A738" s="8"/>
      <c r="N738" s="8"/>
    </row>
    <row r="739" spans="1:14" ht="16.5" customHeight="1">
      <c r="A739" s="8"/>
      <c r="N739" s="8"/>
    </row>
    <row r="740" spans="1:14" ht="16.5" customHeight="1">
      <c r="A740" s="8"/>
      <c r="N740" s="8"/>
    </row>
    <row r="741" spans="1:14" ht="16.5" customHeight="1">
      <c r="A741" s="8"/>
      <c r="N741" s="8"/>
    </row>
    <row r="742" spans="1:14" ht="16.5" customHeight="1">
      <c r="A742" s="8"/>
      <c r="N742" s="8"/>
    </row>
    <row r="743" spans="1:14" ht="16.5" customHeight="1">
      <c r="A743" s="8"/>
      <c r="N743" s="8"/>
    </row>
    <row r="744" spans="1:14" ht="16.5" customHeight="1">
      <c r="A744" s="8"/>
      <c r="N744" s="8"/>
    </row>
    <row r="745" spans="1:14" ht="16.5" customHeight="1">
      <c r="A745" s="8"/>
      <c r="N745" s="8"/>
    </row>
    <row r="746" spans="1:14" ht="16.5" customHeight="1">
      <c r="A746" s="8"/>
      <c r="N746" s="8"/>
    </row>
    <row r="747" spans="1:14" ht="16.5" customHeight="1">
      <c r="A747" s="8"/>
      <c r="N747" s="8"/>
    </row>
    <row r="748" spans="1:14" ht="16.5" customHeight="1">
      <c r="A748" s="8"/>
      <c r="N748" s="8"/>
    </row>
    <row r="749" spans="1:14" ht="16.5" customHeight="1">
      <c r="A749" s="8"/>
      <c r="N749" s="8"/>
    </row>
    <row r="750" spans="1:14" ht="16.5" customHeight="1">
      <c r="A750" s="8"/>
      <c r="N750" s="8"/>
    </row>
    <row r="751" spans="1:14" ht="16.5" customHeight="1">
      <c r="A751" s="8"/>
      <c r="N751" s="8"/>
    </row>
    <row r="752" spans="1:14" ht="16.5" customHeight="1">
      <c r="A752" s="8"/>
      <c r="N752" s="8"/>
    </row>
    <row r="753" spans="1:14" ht="16.5" customHeight="1">
      <c r="A753" s="8"/>
      <c r="N753" s="8"/>
    </row>
    <row r="754" spans="1:14" ht="16.5" customHeight="1">
      <c r="A754" s="8"/>
      <c r="N754" s="8"/>
    </row>
    <row r="755" spans="1:14" ht="16.5" customHeight="1">
      <c r="A755" s="8"/>
      <c r="N755" s="8"/>
    </row>
    <row r="756" spans="1:14" ht="16.5" customHeight="1">
      <c r="A756" s="8"/>
      <c r="N756" s="8"/>
    </row>
    <row r="757" spans="1:14" ht="16.5" customHeight="1">
      <c r="A757" s="8"/>
      <c r="N757" s="8"/>
    </row>
    <row r="758" spans="1:14" ht="16.5" customHeight="1">
      <c r="A758" s="8"/>
      <c r="N758" s="8"/>
    </row>
    <row r="759" spans="1:14" ht="16.5" customHeight="1">
      <c r="A759" s="8"/>
      <c r="N759" s="8"/>
    </row>
    <row r="760" spans="1:14" ht="16.5" customHeight="1">
      <c r="A760" s="8"/>
      <c r="N760" s="8"/>
    </row>
    <row r="761" spans="1:14" ht="16.5" customHeight="1">
      <c r="A761" s="8"/>
      <c r="N761" s="8"/>
    </row>
    <row r="762" spans="1:14" ht="16.5" customHeight="1">
      <c r="A762" s="8"/>
      <c r="N762" s="8"/>
    </row>
    <row r="763" spans="1:14" ht="16.5" customHeight="1">
      <c r="A763" s="8"/>
      <c r="N763" s="8"/>
    </row>
    <row r="764" spans="1:14" ht="16.5" customHeight="1">
      <c r="A764" s="8"/>
      <c r="N764" s="8"/>
    </row>
    <row r="765" spans="1:14" ht="16.5" customHeight="1">
      <c r="A765" s="8"/>
      <c r="N765" s="8"/>
    </row>
    <row r="766" spans="1:14" ht="16.5" customHeight="1">
      <c r="A766" s="8"/>
      <c r="N766" s="8"/>
    </row>
    <row r="767" spans="1:14" ht="16.5" customHeight="1">
      <c r="A767" s="8"/>
      <c r="N767" s="8"/>
    </row>
    <row r="768" spans="1:14" ht="16.5" customHeight="1">
      <c r="A768" s="8"/>
      <c r="N768" s="8"/>
    </row>
    <row r="769" spans="1:14" ht="16.5" customHeight="1">
      <c r="A769" s="8"/>
      <c r="N769" s="8"/>
    </row>
    <row r="770" spans="1:14" ht="16.5" customHeight="1">
      <c r="A770" s="8"/>
      <c r="N770" s="8"/>
    </row>
    <row r="771" spans="1:14" ht="16.5" customHeight="1">
      <c r="A771" s="8"/>
      <c r="N771" s="8"/>
    </row>
    <row r="772" spans="1:14" ht="16.5" customHeight="1">
      <c r="A772" s="8"/>
      <c r="N772" s="8"/>
    </row>
    <row r="773" spans="1:14" ht="16.5" customHeight="1">
      <c r="A773" s="8"/>
      <c r="N773" s="8"/>
    </row>
    <row r="774" spans="1:14" ht="16.5" customHeight="1">
      <c r="A774" s="8"/>
      <c r="N774" s="8"/>
    </row>
    <row r="775" spans="1:14" ht="16.5" customHeight="1">
      <c r="A775" s="8"/>
      <c r="N775" s="8"/>
    </row>
    <row r="776" spans="1:14" ht="16.5" customHeight="1">
      <c r="A776" s="8"/>
      <c r="N776" s="8"/>
    </row>
    <row r="777" spans="1:14" ht="16.5" customHeight="1">
      <c r="A777" s="8"/>
      <c r="N777" s="8"/>
    </row>
    <row r="778" spans="1:14" ht="16.5" customHeight="1">
      <c r="A778" s="8"/>
      <c r="N778" s="8"/>
    </row>
    <row r="779" spans="1:14" ht="16.5" customHeight="1">
      <c r="A779" s="8"/>
      <c r="N779" s="8"/>
    </row>
    <row r="780" spans="1:14" ht="16.5" customHeight="1">
      <c r="A780" s="8"/>
      <c r="N780" s="8"/>
    </row>
    <row r="781" spans="1:14" ht="16.5" customHeight="1">
      <c r="A781" s="8"/>
      <c r="N781" s="8"/>
    </row>
    <row r="782" spans="1:14" ht="16.5" customHeight="1">
      <c r="A782" s="8"/>
      <c r="N782" s="8"/>
    </row>
    <row r="783" spans="1:14" ht="16.5" customHeight="1">
      <c r="A783" s="8"/>
      <c r="N783" s="8"/>
    </row>
    <row r="784" spans="1:14" ht="16.5" customHeight="1">
      <c r="A784" s="8"/>
      <c r="N784" s="8"/>
    </row>
    <row r="785" spans="1:14" ht="16.5" customHeight="1">
      <c r="A785" s="8"/>
      <c r="N785" s="8"/>
    </row>
    <row r="786" spans="1:14" ht="16.5" customHeight="1">
      <c r="A786" s="8"/>
      <c r="N786" s="8"/>
    </row>
    <row r="787" spans="1:14" ht="16.5" customHeight="1">
      <c r="A787" s="8"/>
      <c r="N787" s="8"/>
    </row>
    <row r="788" spans="1:14" ht="16.5" customHeight="1">
      <c r="A788" s="8"/>
      <c r="N788" s="8"/>
    </row>
    <row r="789" spans="1:14" ht="16.5" customHeight="1">
      <c r="A789" s="8"/>
      <c r="N789" s="8"/>
    </row>
    <row r="790" spans="1:14" ht="16.5" customHeight="1">
      <c r="A790" s="8"/>
      <c r="N790" s="8"/>
    </row>
    <row r="791" spans="1:14" ht="16.5" customHeight="1">
      <c r="A791" s="8"/>
      <c r="N791" s="8"/>
    </row>
    <row r="792" spans="1:14" ht="16.5" customHeight="1">
      <c r="A792" s="8"/>
      <c r="N792" s="8"/>
    </row>
    <row r="793" spans="1:14" ht="16.5" customHeight="1">
      <c r="A793" s="8"/>
      <c r="N793" s="8"/>
    </row>
    <row r="794" spans="1:14" ht="16.5" customHeight="1">
      <c r="A794" s="8"/>
      <c r="N794" s="8"/>
    </row>
    <row r="795" spans="1:14" ht="16.5" customHeight="1">
      <c r="A795" s="8"/>
      <c r="N795" s="8"/>
    </row>
    <row r="796" spans="1:14" ht="16.5" customHeight="1">
      <c r="A796" s="8"/>
      <c r="N796" s="8"/>
    </row>
    <row r="797" spans="1:14" ht="16.5" customHeight="1">
      <c r="A797" s="8"/>
      <c r="N797" s="8"/>
    </row>
    <row r="798" spans="1:14" ht="16.5" customHeight="1">
      <c r="A798" s="8"/>
      <c r="N798" s="8"/>
    </row>
    <row r="799" spans="1:14" ht="16.5" customHeight="1">
      <c r="A799" s="8"/>
      <c r="N799" s="8"/>
    </row>
    <row r="800" spans="1:14" ht="16.5" customHeight="1">
      <c r="A800" s="8"/>
      <c r="N800" s="8"/>
    </row>
    <row r="801" spans="1:14" ht="16.5" customHeight="1">
      <c r="A801" s="8"/>
      <c r="N801" s="8"/>
    </row>
    <row r="802" spans="1:14" ht="16.5" customHeight="1">
      <c r="A802" s="8"/>
      <c r="N802" s="8"/>
    </row>
    <row r="803" spans="1:14" ht="16.5" customHeight="1">
      <c r="A803" s="8"/>
      <c r="N803" s="8"/>
    </row>
    <row r="804" spans="1:14" ht="16.5" customHeight="1">
      <c r="A804" s="8"/>
      <c r="N804" s="8"/>
    </row>
    <row r="805" spans="1:14" ht="16.5" customHeight="1">
      <c r="A805" s="8"/>
      <c r="N805" s="8"/>
    </row>
    <row r="806" spans="1:14" ht="16.5" customHeight="1">
      <c r="A806" s="8"/>
      <c r="N806" s="8"/>
    </row>
    <row r="807" spans="1:14" ht="16.5" customHeight="1">
      <c r="A807" s="8"/>
      <c r="N807" s="8"/>
    </row>
    <row r="808" spans="1:14" ht="16.5" customHeight="1">
      <c r="A808" s="8"/>
      <c r="N808" s="8"/>
    </row>
    <row r="809" spans="1:14" ht="16.5" customHeight="1">
      <c r="A809" s="8"/>
      <c r="N809" s="8"/>
    </row>
    <row r="810" spans="1:14" ht="16.5" customHeight="1">
      <c r="A810" s="8"/>
      <c r="N810" s="8"/>
    </row>
    <row r="811" spans="1:14" ht="16.5" customHeight="1">
      <c r="A811" s="8"/>
      <c r="N811" s="8"/>
    </row>
    <row r="812" spans="1:14" ht="16.5" customHeight="1">
      <c r="A812" s="8"/>
      <c r="N812" s="8"/>
    </row>
    <row r="813" spans="1:14" ht="16.5" customHeight="1">
      <c r="A813" s="8"/>
      <c r="N813" s="8"/>
    </row>
    <row r="814" spans="1:14" ht="16.5" customHeight="1">
      <c r="A814" s="8"/>
      <c r="N814" s="8"/>
    </row>
    <row r="815" spans="1:14" ht="16.5" customHeight="1">
      <c r="A815" s="8"/>
      <c r="N815" s="8"/>
    </row>
    <row r="816" spans="1:14" ht="16.5" customHeight="1">
      <c r="A816" s="8"/>
      <c r="N816" s="8"/>
    </row>
    <row r="817" spans="1:14" ht="16.5" customHeight="1">
      <c r="A817" s="8"/>
      <c r="N817" s="8"/>
    </row>
    <row r="818" spans="1:14" ht="16.5" customHeight="1">
      <c r="A818" s="8"/>
      <c r="N818" s="8"/>
    </row>
    <row r="819" spans="1:14" ht="16.5" customHeight="1">
      <c r="A819" s="8"/>
      <c r="N819" s="8"/>
    </row>
    <row r="820" spans="1:14" ht="16.5" customHeight="1">
      <c r="A820" s="8"/>
      <c r="N820" s="8"/>
    </row>
    <row r="821" spans="1:14" ht="16.5" customHeight="1">
      <c r="A821" s="8"/>
      <c r="N821" s="8"/>
    </row>
    <row r="822" spans="1:14" ht="16.5" customHeight="1">
      <c r="A822" s="8"/>
      <c r="N822" s="8"/>
    </row>
    <row r="823" spans="1:14" ht="16.5" customHeight="1">
      <c r="A823" s="8"/>
      <c r="N823" s="8"/>
    </row>
    <row r="824" spans="1:14" ht="16.5" customHeight="1">
      <c r="A824" s="8"/>
      <c r="N824" s="8"/>
    </row>
    <row r="825" spans="1:14" ht="16.5" customHeight="1">
      <c r="A825" s="8"/>
      <c r="N825" s="8"/>
    </row>
    <row r="826" spans="1:14" ht="16.5" customHeight="1">
      <c r="A826" s="8"/>
      <c r="N826" s="8"/>
    </row>
    <row r="827" spans="1:14" ht="16.5" customHeight="1">
      <c r="A827" s="8"/>
      <c r="N827" s="8"/>
    </row>
    <row r="828" spans="1:14" ht="16.5" customHeight="1">
      <c r="A828" s="8"/>
      <c r="N828" s="8"/>
    </row>
    <row r="829" spans="1:14" ht="16.5" customHeight="1">
      <c r="A829" s="8"/>
      <c r="N829" s="8"/>
    </row>
    <row r="830" spans="1:14" ht="16.5" customHeight="1">
      <c r="A830" s="8"/>
      <c r="N830" s="8"/>
    </row>
    <row r="831" spans="1:14" ht="16.5" customHeight="1">
      <c r="A831" s="8"/>
      <c r="N831" s="8"/>
    </row>
    <row r="832" spans="1:14" ht="16.5" customHeight="1">
      <c r="A832" s="8"/>
      <c r="N832" s="8"/>
    </row>
    <row r="833" spans="1:14" ht="16.5" customHeight="1">
      <c r="A833" s="8"/>
      <c r="N833" s="8"/>
    </row>
    <row r="834" spans="1:14" ht="16.5" customHeight="1">
      <c r="A834" s="8"/>
      <c r="N834" s="8"/>
    </row>
    <row r="835" spans="1:14" ht="16.5" customHeight="1">
      <c r="A835" s="8"/>
      <c r="N835" s="8"/>
    </row>
    <row r="836" spans="1:14" ht="16.5" customHeight="1">
      <c r="A836" s="8"/>
      <c r="N836" s="8"/>
    </row>
    <row r="837" spans="1:14" ht="16.5" customHeight="1">
      <c r="A837" s="8"/>
      <c r="N837" s="8"/>
    </row>
    <row r="838" spans="1:14" ht="16.5" customHeight="1">
      <c r="A838" s="8"/>
      <c r="N838" s="8"/>
    </row>
    <row r="839" spans="1:14" ht="16.5" customHeight="1">
      <c r="A839" s="8"/>
      <c r="N839" s="8"/>
    </row>
    <row r="840" spans="1:14" ht="16.5" customHeight="1">
      <c r="A840" s="8"/>
      <c r="N840" s="8"/>
    </row>
    <row r="841" spans="1:14" ht="16.5" customHeight="1">
      <c r="A841" s="8"/>
      <c r="N841" s="8"/>
    </row>
    <row r="842" spans="1:14" ht="16.5" customHeight="1">
      <c r="A842" s="8"/>
      <c r="N842" s="8"/>
    </row>
    <row r="843" spans="1:14" ht="16.5" customHeight="1">
      <c r="A843" s="8"/>
      <c r="N843" s="8"/>
    </row>
    <row r="844" spans="1:14" ht="16.5" customHeight="1">
      <c r="A844" s="8"/>
      <c r="N844" s="8"/>
    </row>
    <row r="845" spans="1:14" ht="16.5" customHeight="1">
      <c r="A845" s="8"/>
      <c r="N845" s="8"/>
    </row>
    <row r="846" spans="1:14" ht="16.5" customHeight="1">
      <c r="A846" s="8"/>
      <c r="N846" s="8"/>
    </row>
    <row r="847" spans="1:14" ht="16.5" customHeight="1">
      <c r="A847" s="8"/>
      <c r="N847" s="8"/>
    </row>
    <row r="848" spans="1:14" ht="16.5" customHeight="1">
      <c r="A848" s="8"/>
      <c r="N848" s="8"/>
    </row>
    <row r="849" spans="1:14" ht="16.5" customHeight="1">
      <c r="A849" s="8"/>
      <c r="N849" s="8"/>
    </row>
    <row r="850" spans="1:14" ht="16.5" customHeight="1">
      <c r="A850" s="8"/>
      <c r="N850" s="8"/>
    </row>
    <row r="851" spans="1:14" ht="16.5" customHeight="1">
      <c r="A851" s="8"/>
      <c r="N851" s="8"/>
    </row>
    <row r="852" spans="1:14" ht="16.5" customHeight="1">
      <c r="A852" s="8"/>
      <c r="N852" s="8"/>
    </row>
    <row r="853" spans="1:14" ht="16.5" customHeight="1">
      <c r="A853" s="8"/>
      <c r="N853" s="8"/>
    </row>
    <row r="854" spans="1:14" ht="16.5" customHeight="1">
      <c r="A854" s="8"/>
      <c r="N854" s="8"/>
    </row>
    <row r="855" spans="1:14" ht="16.5" customHeight="1">
      <c r="A855" s="8"/>
      <c r="N855" s="8"/>
    </row>
    <row r="856" spans="1:14" ht="16.5" customHeight="1">
      <c r="A856" s="8"/>
      <c r="N856" s="8"/>
    </row>
    <row r="857" spans="1:14" ht="16.5" customHeight="1">
      <c r="A857" s="8"/>
      <c r="N857" s="8"/>
    </row>
    <row r="858" spans="1:14" ht="16.5" customHeight="1">
      <c r="A858" s="8"/>
      <c r="N858" s="8"/>
    </row>
    <row r="859" spans="1:14" ht="16.5" customHeight="1">
      <c r="A859" s="8"/>
      <c r="N859" s="8"/>
    </row>
    <row r="860" spans="1:14" ht="16.5" customHeight="1">
      <c r="A860" s="8"/>
      <c r="N860" s="8"/>
    </row>
    <row r="861" spans="1:14" ht="16.5" customHeight="1">
      <c r="A861" s="8"/>
      <c r="N861" s="8"/>
    </row>
    <row r="862" spans="1:14" ht="16.5" customHeight="1">
      <c r="A862" s="8"/>
      <c r="N862" s="8"/>
    </row>
    <row r="863" spans="1:14" ht="16.5" customHeight="1">
      <c r="A863" s="8"/>
      <c r="N863" s="8"/>
    </row>
    <row r="864" spans="1:14" ht="16.5" customHeight="1">
      <c r="A864" s="8"/>
      <c r="N864" s="8"/>
    </row>
    <row r="865" spans="1:14" ht="16.5" customHeight="1">
      <c r="A865" s="8"/>
      <c r="N865" s="8"/>
    </row>
    <row r="866" spans="1:14" ht="16.5" customHeight="1">
      <c r="A866" s="8"/>
      <c r="N866" s="8"/>
    </row>
    <row r="867" spans="1:14" ht="16.5" customHeight="1">
      <c r="A867" s="8"/>
      <c r="N867" s="8"/>
    </row>
    <row r="868" spans="1:14" ht="16.5" customHeight="1">
      <c r="A868" s="8"/>
      <c r="N868" s="8"/>
    </row>
    <row r="869" spans="1:14" ht="16.5" customHeight="1">
      <c r="A869" s="8"/>
      <c r="N869" s="8"/>
    </row>
    <row r="870" spans="1:14" ht="16.5" customHeight="1">
      <c r="A870" s="8"/>
      <c r="N870" s="8"/>
    </row>
    <row r="871" spans="1:14" ht="16.5" customHeight="1">
      <c r="A871" s="8"/>
      <c r="N871" s="8"/>
    </row>
    <row r="872" spans="1:14" ht="16.5" customHeight="1">
      <c r="A872" s="8"/>
      <c r="N872" s="8"/>
    </row>
    <row r="873" spans="1:14" ht="16.5" customHeight="1">
      <c r="A873" s="8"/>
      <c r="N873" s="8"/>
    </row>
    <row r="874" spans="1:14" ht="16.5" customHeight="1">
      <c r="A874" s="8"/>
      <c r="N874" s="8"/>
    </row>
    <row r="875" spans="1:14" ht="16.5" customHeight="1">
      <c r="A875" s="8"/>
      <c r="N875" s="8"/>
    </row>
    <row r="876" spans="1:14" ht="16.5" customHeight="1">
      <c r="A876" s="8"/>
      <c r="N876" s="8"/>
    </row>
    <row r="877" spans="1:14" ht="16.5" customHeight="1">
      <c r="A877" s="8"/>
      <c r="N877" s="8"/>
    </row>
    <row r="878" spans="1:14" ht="16.5" customHeight="1">
      <c r="A878" s="8"/>
      <c r="N878" s="8"/>
    </row>
    <row r="879" spans="1:14" ht="16.5" customHeight="1">
      <c r="A879" s="8"/>
      <c r="N879" s="8"/>
    </row>
    <row r="880" spans="1:14" ht="16.5" customHeight="1">
      <c r="A880" s="8"/>
      <c r="N880" s="8"/>
    </row>
    <row r="881" spans="1:14" ht="16.5" customHeight="1">
      <c r="A881" s="8"/>
      <c r="N881" s="8"/>
    </row>
    <row r="882" spans="1:14" ht="16.5" customHeight="1">
      <c r="A882" s="8"/>
      <c r="N882" s="8"/>
    </row>
    <row r="883" spans="1:14" ht="16.5" customHeight="1">
      <c r="A883" s="8"/>
      <c r="N883" s="8"/>
    </row>
    <row r="884" spans="1:14" ht="16.5" customHeight="1">
      <c r="A884" s="8"/>
      <c r="N884" s="8"/>
    </row>
    <row r="885" spans="1:14" ht="16.5" customHeight="1">
      <c r="A885" s="8"/>
      <c r="N885" s="8"/>
    </row>
    <row r="886" spans="1:14" ht="16.5" customHeight="1">
      <c r="A886" s="8"/>
      <c r="N886" s="8"/>
    </row>
    <row r="887" spans="1:14" ht="16.5" customHeight="1">
      <c r="A887" s="8"/>
      <c r="N887" s="8"/>
    </row>
    <row r="888" spans="1:14" ht="16.5" customHeight="1">
      <c r="A888" s="8"/>
      <c r="N888" s="8"/>
    </row>
    <row r="889" spans="1:14" ht="16.5" customHeight="1">
      <c r="A889" s="8"/>
      <c r="N889" s="8"/>
    </row>
    <row r="890" spans="1:14" ht="16.5" customHeight="1">
      <c r="A890" s="8"/>
      <c r="N890" s="8"/>
    </row>
    <row r="891" spans="1:14" ht="16.5" customHeight="1">
      <c r="A891" s="8"/>
      <c r="N891" s="8"/>
    </row>
    <row r="892" spans="1:14" ht="16.5" customHeight="1">
      <c r="A892" s="8"/>
      <c r="N892" s="8"/>
    </row>
    <row r="893" spans="1:14" ht="16.5" customHeight="1">
      <c r="A893" s="8"/>
      <c r="N893" s="8"/>
    </row>
    <row r="894" spans="1:14" ht="16.5" customHeight="1">
      <c r="A894" s="8"/>
      <c r="N894" s="8"/>
    </row>
    <row r="895" spans="1:14" ht="16.5" customHeight="1">
      <c r="A895" s="8"/>
      <c r="N895" s="8"/>
    </row>
    <row r="896" spans="1:14" ht="16.5" customHeight="1">
      <c r="A896" s="8"/>
      <c r="N896" s="8"/>
    </row>
    <row r="897" spans="1:14" ht="16.5" customHeight="1">
      <c r="A897" s="8"/>
      <c r="N897" s="8"/>
    </row>
    <row r="898" spans="1:14" ht="16.5" customHeight="1">
      <c r="A898" s="8"/>
      <c r="N898" s="8"/>
    </row>
    <row r="899" spans="1:14" ht="16.5" customHeight="1">
      <c r="A899" s="8"/>
      <c r="N899" s="8"/>
    </row>
    <row r="900" spans="1:14" ht="16.5" customHeight="1">
      <c r="A900" s="8"/>
      <c r="N900" s="8"/>
    </row>
    <row r="901" spans="1:14" ht="16.5" customHeight="1">
      <c r="A901" s="8"/>
      <c r="N901" s="8"/>
    </row>
    <row r="902" spans="1:14" ht="16.5" customHeight="1">
      <c r="A902" s="8"/>
      <c r="N902" s="8"/>
    </row>
    <row r="903" spans="1:14" ht="16.5" customHeight="1">
      <c r="A903" s="8"/>
      <c r="N903" s="8"/>
    </row>
    <row r="904" spans="1:14" ht="16.5" customHeight="1">
      <c r="A904" s="8"/>
      <c r="N904" s="8"/>
    </row>
    <row r="905" spans="1:14" ht="16.5" customHeight="1">
      <c r="A905" s="8"/>
      <c r="N905" s="8"/>
    </row>
    <row r="906" spans="1:14" ht="16.5" customHeight="1">
      <c r="A906" s="8"/>
      <c r="N906" s="8"/>
    </row>
    <row r="907" spans="1:14" ht="16.5" customHeight="1">
      <c r="A907" s="8"/>
      <c r="N907" s="8"/>
    </row>
    <row r="908" spans="1:14" ht="16.5" customHeight="1">
      <c r="A908" s="8"/>
      <c r="N908" s="8"/>
    </row>
    <row r="909" spans="1:14" ht="16.5" customHeight="1">
      <c r="A909" s="8"/>
      <c r="N909" s="8"/>
    </row>
    <row r="910" spans="1:14" ht="16.5" customHeight="1">
      <c r="A910" s="8"/>
      <c r="N910" s="8"/>
    </row>
    <row r="911" spans="1:14" ht="16.5" customHeight="1">
      <c r="A911" s="8"/>
      <c r="N911" s="8"/>
    </row>
    <row r="912" spans="1:14" ht="16.5" customHeight="1">
      <c r="A912" s="8"/>
      <c r="N912" s="8"/>
    </row>
    <row r="913" spans="1:14" ht="16.5" customHeight="1">
      <c r="A913" s="8"/>
      <c r="N913" s="8"/>
    </row>
    <row r="914" spans="1:14" ht="16.5" customHeight="1">
      <c r="A914" s="8"/>
      <c r="N914" s="8"/>
    </row>
    <row r="915" spans="1:14" ht="16.5" customHeight="1">
      <c r="A915" s="8"/>
      <c r="N915" s="8"/>
    </row>
    <row r="916" spans="1:14" ht="16.5" customHeight="1">
      <c r="A916" s="8"/>
      <c r="N916" s="8"/>
    </row>
    <row r="917" spans="1:14" ht="16.5" customHeight="1">
      <c r="A917" s="8"/>
      <c r="N917" s="8"/>
    </row>
    <row r="918" spans="1:14" ht="16.5" customHeight="1">
      <c r="A918" s="8"/>
      <c r="N918" s="8"/>
    </row>
    <row r="919" spans="1:14" ht="16.5" customHeight="1">
      <c r="A919" s="8"/>
      <c r="N919" s="8"/>
    </row>
    <row r="920" spans="1:14" ht="16.5" customHeight="1">
      <c r="A920" s="8"/>
      <c r="N920" s="8"/>
    </row>
    <row r="921" spans="1:14" ht="16.5" customHeight="1">
      <c r="A921" s="8"/>
      <c r="N921" s="8"/>
    </row>
    <row r="922" spans="1:14" ht="16.5" customHeight="1">
      <c r="A922" s="8"/>
      <c r="N922" s="8"/>
    </row>
    <row r="923" spans="1:14" ht="16.5" customHeight="1">
      <c r="A923" s="8"/>
      <c r="N923" s="8"/>
    </row>
    <row r="924" spans="1:14" ht="16.5" customHeight="1">
      <c r="A924" s="8"/>
      <c r="N924" s="8"/>
    </row>
    <row r="925" spans="1:14" ht="16.5" customHeight="1">
      <c r="A925" s="8"/>
      <c r="N925" s="8"/>
    </row>
    <row r="926" spans="1:14" ht="16.5" customHeight="1">
      <c r="A926" s="8"/>
      <c r="N926" s="8"/>
    </row>
    <row r="927" spans="1:14" ht="16.5" customHeight="1">
      <c r="A927" s="8"/>
      <c r="N927" s="8"/>
    </row>
    <row r="928" spans="1:14" ht="16.5" customHeight="1">
      <c r="A928" s="8"/>
      <c r="N928" s="8"/>
    </row>
    <row r="929" spans="1:14" ht="16.5" customHeight="1">
      <c r="A929" s="8"/>
      <c r="N929" s="8"/>
    </row>
    <row r="930" spans="1:14" ht="16.5" customHeight="1">
      <c r="A930" s="8"/>
      <c r="N930" s="8"/>
    </row>
    <row r="931" spans="1:14" ht="16.5" customHeight="1">
      <c r="A931" s="8"/>
      <c r="N931" s="8"/>
    </row>
    <row r="932" spans="1:14" ht="16.5" customHeight="1">
      <c r="A932" s="8"/>
      <c r="N932" s="8"/>
    </row>
    <row r="933" spans="1:14" ht="16.5" customHeight="1">
      <c r="A933" s="8"/>
      <c r="N933" s="8"/>
    </row>
    <row r="934" spans="1:14" ht="16.5" customHeight="1">
      <c r="A934" s="8"/>
      <c r="N934" s="8"/>
    </row>
    <row r="935" spans="1:14" ht="16.5" customHeight="1">
      <c r="A935" s="8"/>
      <c r="N935" s="8"/>
    </row>
    <row r="936" spans="1:14" ht="16.5" customHeight="1">
      <c r="A936" s="8"/>
      <c r="N936" s="8"/>
    </row>
    <row r="937" spans="1:14" ht="16.5" customHeight="1">
      <c r="A937" s="8"/>
      <c r="N937" s="8"/>
    </row>
    <row r="938" spans="1:14" ht="16.5" customHeight="1">
      <c r="A938" s="8"/>
      <c r="N938" s="8"/>
    </row>
    <row r="939" spans="1:14" ht="16.5" customHeight="1">
      <c r="A939" s="8"/>
      <c r="N939" s="8"/>
    </row>
    <row r="940" spans="1:14" ht="16.5" customHeight="1">
      <c r="A940" s="8"/>
      <c r="N940" s="8"/>
    </row>
    <row r="941" spans="1:14" ht="16.5" customHeight="1">
      <c r="A941" s="8"/>
      <c r="N941" s="8"/>
    </row>
    <row r="942" spans="1:14" ht="16.5" customHeight="1">
      <c r="A942" s="8"/>
      <c r="N942" s="8"/>
    </row>
    <row r="943" spans="1:14" ht="16.5" customHeight="1">
      <c r="A943" s="8"/>
      <c r="N943" s="8"/>
    </row>
    <row r="944" spans="1:14" ht="16.5" customHeight="1">
      <c r="A944" s="8"/>
      <c r="N944" s="8"/>
    </row>
    <row r="945" spans="1:14" ht="16.5" customHeight="1">
      <c r="A945" s="8"/>
      <c r="N945" s="8"/>
    </row>
    <row r="946" spans="1:14" ht="16.5" customHeight="1">
      <c r="A946" s="8"/>
      <c r="N946" s="8"/>
    </row>
    <row r="947" spans="1:14" ht="16.5" customHeight="1">
      <c r="A947" s="8"/>
      <c r="N947" s="8"/>
    </row>
    <row r="948" spans="1:14" ht="16.5" customHeight="1">
      <c r="A948" s="8"/>
      <c r="N948" s="8"/>
    </row>
    <row r="949" spans="1:14" ht="16.5" customHeight="1">
      <c r="A949" s="8"/>
      <c r="N949" s="8"/>
    </row>
    <row r="950" spans="1:14" ht="16.5" customHeight="1">
      <c r="A950" s="8"/>
      <c r="N950" s="8"/>
    </row>
    <row r="951" spans="1:14" ht="16.5" customHeight="1">
      <c r="A951" s="8"/>
      <c r="N951" s="8"/>
    </row>
    <row r="952" spans="1:14" ht="16.5" customHeight="1">
      <c r="A952" s="8"/>
      <c r="N952" s="8"/>
    </row>
    <row r="953" spans="1:14" ht="16.5" customHeight="1">
      <c r="A953" s="8"/>
      <c r="N953" s="8"/>
    </row>
    <row r="954" spans="1:14" ht="16.5" customHeight="1">
      <c r="A954" s="8"/>
      <c r="N954" s="8"/>
    </row>
    <row r="955" spans="1:14" ht="16.5" customHeight="1">
      <c r="A955" s="8"/>
      <c r="N955" s="8"/>
    </row>
    <row r="956" spans="1:14" ht="16.5" customHeight="1">
      <c r="A956" s="8"/>
      <c r="N956" s="8"/>
    </row>
    <row r="957" spans="1:14" ht="16.5" customHeight="1">
      <c r="A957" s="8"/>
      <c r="N957" s="8"/>
    </row>
    <row r="958" spans="1:14" ht="16.5" customHeight="1">
      <c r="A958" s="8"/>
      <c r="N958" s="8"/>
    </row>
    <row r="959" spans="1:14" ht="16.5" customHeight="1">
      <c r="A959" s="8"/>
      <c r="N959" s="8"/>
    </row>
    <row r="960" spans="1:14" ht="16.5" customHeight="1">
      <c r="A960" s="8"/>
      <c r="N960" s="8"/>
    </row>
    <row r="961" spans="1:14" ht="16.5" customHeight="1">
      <c r="A961" s="8"/>
      <c r="N961" s="8"/>
    </row>
    <row r="962" spans="1:14" ht="16.5" customHeight="1">
      <c r="A962" s="8"/>
      <c r="N962" s="8"/>
    </row>
    <row r="963" spans="1:14" ht="16.5" customHeight="1">
      <c r="A963" s="8"/>
      <c r="N963" s="8"/>
    </row>
    <row r="964" spans="1:14" ht="16.5" customHeight="1">
      <c r="A964" s="8"/>
      <c r="N964" s="8"/>
    </row>
    <row r="965" spans="1:14" ht="16.5" customHeight="1">
      <c r="A965" s="8"/>
      <c r="N965" s="8"/>
    </row>
    <row r="966" spans="1:14" ht="16.5" customHeight="1">
      <c r="A966" s="8"/>
      <c r="N966" s="8"/>
    </row>
    <row r="967" spans="1:14" ht="16.5" customHeight="1">
      <c r="A967" s="8"/>
      <c r="N967" s="8"/>
    </row>
    <row r="968" spans="1:14" ht="16.5" customHeight="1">
      <c r="A968" s="8"/>
      <c r="N968" s="8"/>
    </row>
    <row r="969" spans="1:14" ht="16.5" customHeight="1">
      <c r="A969" s="8"/>
      <c r="N969" s="8"/>
    </row>
    <row r="970" spans="1:14" ht="16.5" customHeight="1">
      <c r="A970" s="8"/>
      <c r="N970" s="8"/>
    </row>
    <row r="971" spans="1:14" ht="16.5" customHeight="1">
      <c r="A971" s="8"/>
      <c r="N971" s="8"/>
    </row>
    <row r="972" spans="1:14" ht="16.5" customHeight="1">
      <c r="A972" s="8"/>
      <c r="N972" s="8"/>
    </row>
    <row r="973" spans="1:14" ht="16.5" customHeight="1">
      <c r="A973" s="8"/>
      <c r="N973" s="8"/>
    </row>
    <row r="974" spans="1:14" ht="16.5" customHeight="1">
      <c r="A974" s="8"/>
      <c r="N974" s="8"/>
    </row>
    <row r="975" spans="1:14" ht="16.5" customHeight="1">
      <c r="A975" s="8"/>
      <c r="N975" s="8"/>
    </row>
    <row r="976" spans="1:14" ht="16.5" customHeight="1">
      <c r="A976" s="8"/>
      <c r="N976" s="8"/>
    </row>
    <row r="977" spans="1:14" ht="16.5" customHeight="1">
      <c r="A977" s="8"/>
      <c r="N977" s="8"/>
    </row>
    <row r="978" spans="1:14" ht="16.5" customHeight="1">
      <c r="A978" s="8"/>
      <c r="N978" s="8"/>
    </row>
    <row r="979" spans="1:14" ht="16.5" customHeight="1">
      <c r="A979" s="8"/>
      <c r="N979" s="8"/>
    </row>
    <row r="980" spans="1:14" ht="16.5" customHeight="1">
      <c r="A980" s="8"/>
      <c r="N980" s="8"/>
    </row>
    <row r="981" spans="1:14" ht="16.5" customHeight="1">
      <c r="A981" s="8"/>
      <c r="N981" s="8"/>
    </row>
    <row r="982" spans="1:14" ht="16.5" customHeight="1">
      <c r="A982" s="8"/>
      <c r="N982" s="8"/>
    </row>
    <row r="983" spans="1:14" ht="16.5" customHeight="1">
      <c r="A983" s="8"/>
      <c r="N983" s="8"/>
    </row>
    <row r="984" spans="1:14" ht="16.5" customHeight="1">
      <c r="A984" s="8"/>
      <c r="N984" s="8"/>
    </row>
    <row r="985" spans="1:14" ht="16.5" customHeight="1">
      <c r="A985" s="8"/>
      <c r="N985" s="8"/>
    </row>
    <row r="986" spans="1:14" ht="16.5" customHeight="1">
      <c r="A986" s="8"/>
      <c r="N986" s="8"/>
    </row>
    <row r="987" spans="1:14" ht="16.5" customHeight="1">
      <c r="A987" s="8"/>
      <c r="N987" s="8"/>
    </row>
    <row r="988" spans="1:14" ht="16.5" customHeight="1">
      <c r="A988" s="8"/>
      <c r="N988" s="8"/>
    </row>
    <row r="989" spans="1:14" ht="16.5" customHeight="1">
      <c r="A989" s="8"/>
      <c r="N989" s="8"/>
    </row>
    <row r="990" spans="1:14" ht="16.5" customHeight="1">
      <c r="A990" s="8"/>
      <c r="N990" s="8"/>
    </row>
    <row r="991" spans="1:14" ht="16.5" customHeight="1">
      <c r="A991" s="8"/>
      <c r="N991" s="8"/>
    </row>
    <row r="992" spans="1:14" ht="16.5" customHeight="1">
      <c r="A992" s="8"/>
      <c r="N992" s="8"/>
    </row>
    <row r="993" spans="1:14" ht="16.5" customHeight="1">
      <c r="A993" s="8"/>
      <c r="N993" s="8"/>
    </row>
    <row r="994" spans="1:14" ht="16.5" customHeight="1">
      <c r="A994" s="8"/>
      <c r="N994" s="8"/>
    </row>
    <row r="995" spans="1:14" ht="16.5" customHeight="1">
      <c r="A995" s="8"/>
      <c r="N995" s="8"/>
    </row>
    <row r="996" spans="1:14" ht="16.5" customHeight="1">
      <c r="A996" s="8"/>
      <c r="N996" s="8"/>
    </row>
    <row r="997" spans="1:14" ht="16.5" customHeight="1">
      <c r="A997" s="8"/>
      <c r="N997" s="8"/>
    </row>
    <row r="998" spans="1:14" ht="16.5" customHeight="1">
      <c r="A998" s="8"/>
      <c r="N998" s="8"/>
    </row>
    <row r="999" spans="1:14" ht="16.5" customHeight="1">
      <c r="A999" s="8"/>
      <c r="N999" s="8"/>
    </row>
    <row r="1000" spans="1:14" ht="16.5" customHeight="1">
      <c r="A1000" s="8"/>
      <c r="N1000" s="8"/>
    </row>
    <row r="1001" spans="1:14" ht="16.5" customHeight="1">
      <c r="A1001" s="8"/>
      <c r="N1001" s="8"/>
    </row>
    <row r="1002" spans="1:14" ht="16.5" customHeight="1">
      <c r="A1002" s="8"/>
      <c r="N1002" s="8"/>
    </row>
    <row r="1003" spans="1:14" ht="16.5" customHeight="1">
      <c r="A1003" s="8"/>
      <c r="N1003" s="8"/>
    </row>
    <row r="1004" spans="1:14" ht="16.5" customHeight="1">
      <c r="A1004" s="8"/>
      <c r="N1004" s="8"/>
    </row>
    <row r="1005" spans="1:14" ht="16.5" customHeight="1">
      <c r="A1005" s="8"/>
      <c r="N1005" s="8"/>
    </row>
    <row r="1006" spans="1:14" ht="16.5" customHeight="1">
      <c r="A1006" s="8"/>
      <c r="N1006" s="8"/>
    </row>
    <row r="1007" spans="1:14" ht="16.5" customHeight="1">
      <c r="A1007" s="8"/>
      <c r="N1007" s="8"/>
    </row>
  </sheetData>
  <mergeCells count="91">
    <mergeCell ref="A59:A60"/>
    <mergeCell ref="B59:B60"/>
    <mergeCell ref="M59:N60"/>
    <mergeCell ref="A61:A75"/>
    <mergeCell ref="M61:N75"/>
    <mergeCell ref="B62:B66"/>
    <mergeCell ref="B67:B71"/>
    <mergeCell ref="B74:B75"/>
    <mergeCell ref="J35:J36"/>
    <mergeCell ref="K35:K36"/>
    <mergeCell ref="L35:L36"/>
    <mergeCell ref="M35:N36"/>
    <mergeCell ref="O35:O36"/>
    <mergeCell ref="E35:E36"/>
    <mergeCell ref="F35:F36"/>
    <mergeCell ref="G35:G36"/>
    <mergeCell ref="H35:H36"/>
    <mergeCell ref="I35:I36"/>
    <mergeCell ref="A104:D104"/>
    <mergeCell ref="M104:N104"/>
    <mergeCell ref="M34:N34"/>
    <mergeCell ref="A101:D101"/>
    <mergeCell ref="M101:N101"/>
    <mergeCell ref="A102:D102"/>
    <mergeCell ref="M102:N102"/>
    <mergeCell ref="A103:D103"/>
    <mergeCell ref="M103:N103"/>
    <mergeCell ref="A98:A100"/>
    <mergeCell ref="B98:B100"/>
    <mergeCell ref="M98:N100"/>
    <mergeCell ref="B81:B82"/>
    <mergeCell ref="B83:B84"/>
    <mergeCell ref="B85:B86"/>
    <mergeCell ref="B87:B89"/>
    <mergeCell ref="A96:A97"/>
    <mergeCell ref="B96:B97"/>
    <mergeCell ref="M96:N97"/>
    <mergeCell ref="A76:A77"/>
    <mergeCell ref="B76:B77"/>
    <mergeCell ref="M76:N77"/>
    <mergeCell ref="A78:A80"/>
    <mergeCell ref="B78:B80"/>
    <mergeCell ref="M78:N80"/>
    <mergeCell ref="A81:A86"/>
    <mergeCell ref="M81:N86"/>
    <mergeCell ref="B94:B95"/>
    <mergeCell ref="A87:A95"/>
    <mergeCell ref="M87:N95"/>
    <mergeCell ref="B90:B91"/>
    <mergeCell ref="M47:N56"/>
    <mergeCell ref="B48:B52"/>
    <mergeCell ref="A57:A58"/>
    <mergeCell ref="B57:B58"/>
    <mergeCell ref="M57:N58"/>
    <mergeCell ref="B53:B56"/>
    <mergeCell ref="A47:A56"/>
    <mergeCell ref="A37:D37"/>
    <mergeCell ref="M37:N37"/>
    <mergeCell ref="A38:A46"/>
    <mergeCell ref="M38:N46"/>
    <mergeCell ref="B43:B46"/>
    <mergeCell ref="B38:B42"/>
    <mergeCell ref="A5:A36"/>
    <mergeCell ref="B5:B9"/>
    <mergeCell ref="M5:M9"/>
    <mergeCell ref="N5:N19"/>
    <mergeCell ref="B10:B14"/>
    <mergeCell ref="M10:M14"/>
    <mergeCell ref="B15:B19"/>
    <mergeCell ref="B28:B33"/>
    <mergeCell ref="M28:N33"/>
    <mergeCell ref="M15:M19"/>
    <mergeCell ref="B20:B23"/>
    <mergeCell ref="M20:N21"/>
    <mergeCell ref="M22:N23"/>
    <mergeCell ref="B24:B27"/>
    <mergeCell ref="M24:N27"/>
    <mergeCell ref="D35:D36"/>
    <mergeCell ref="A1:P1"/>
    <mergeCell ref="A2:O2"/>
    <mergeCell ref="A3:A4"/>
    <mergeCell ref="B3:B4"/>
    <mergeCell ref="C3:C4"/>
    <mergeCell ref="D3:D4"/>
    <mergeCell ref="E3:E4"/>
    <mergeCell ref="F3:F4"/>
    <mergeCell ref="G3:H3"/>
    <mergeCell ref="I3:J3"/>
    <mergeCell ref="K3:L3"/>
    <mergeCell ref="M3:N3"/>
    <mergeCell ref="O3:O4"/>
  </mergeCells>
  <phoneticPr fontId="15" type="noConversion"/>
  <dataValidations count="3">
    <dataValidation type="list" allowBlank="1" showErrorMessage="1" sqref="O5:O35 O38:O100" xr:uid="{00000000-0002-0000-0100-000000000000}">
      <formula1>"성취도 5단계+석차등급O,성취도 5단계+석차등급X,성취도 3단계,이수/미이수"</formula1>
    </dataValidation>
    <dataValidation type="list" allowBlank="1" showErrorMessage="1" sqref="B5 B10 B15 B20 B24 B28 B87 B38 B57 B53:B54 B61:B64 B67:B70 B76 B43:B44 B78:B79 B81 B83 B85 B90:B91 B34:B36 B59 B47:B50 B72:B74 B92:B94 B98:B99" xr:uid="{00000000-0002-0000-0100-000002000000}">
      <formula1>"국어,수학,영어,사회,과학,체육,예술,기술·가정,정보,제2외국어,한문,교양"</formula1>
    </dataValidation>
    <dataValidation type="list" allowBlank="1" showErrorMessage="1" sqref="C5:C36 C38:C100" xr:uid="{A620B0DB-3049-4BCE-8217-CB98141F81F9}">
      <formula1>"공통,일반,진로,융합,진로(전공),융합(전공)"</formula1>
    </dataValidation>
  </dataValidations>
  <printOptions horizontalCentered="1"/>
  <pageMargins left="0.25" right="0.25" top="0.41" bottom="0.38" header="0.3" footer="0.3"/>
  <pageSetup paperSize="12" scale="58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207FC-05A8-4E50-A8B1-C878ADAF66F2}">
  <sheetPr>
    <pageSetUpPr fitToPage="1"/>
  </sheetPr>
  <dimension ref="A1:P75"/>
  <sheetViews>
    <sheetView zoomScaleNormal="100" workbookViewId="0">
      <pane ySplit="4" topLeftCell="A5" activePane="bottomLeft" state="frozen"/>
      <selection sqref="A1:Q1"/>
      <selection pane="bottomLeft" activeCell="R5" sqref="R5"/>
    </sheetView>
  </sheetViews>
  <sheetFormatPr defaultColWidth="10" defaultRowHeight="14.4"/>
  <cols>
    <col min="1" max="1" width="3.5546875" style="77" bestFit="1" customWidth="1"/>
    <col min="2" max="2" width="8.44140625" style="77" customWidth="1"/>
    <col min="3" max="3" width="9.5546875" style="77" customWidth="1"/>
    <col min="4" max="4" width="5.5546875" style="77" bestFit="1" customWidth="1"/>
    <col min="5" max="5" width="16.6640625" style="77" customWidth="1"/>
    <col min="6" max="7" width="8.6640625" style="77" customWidth="1"/>
    <col min="8" max="13" width="9.109375" style="77" customWidth="1"/>
    <col min="14" max="15" width="10" style="77"/>
    <col min="16" max="16" width="33.6640625" style="77" customWidth="1"/>
    <col min="17" max="17" width="10" style="77"/>
    <col min="18" max="18" width="20.6640625" style="77" customWidth="1"/>
    <col min="19" max="16384" width="10" style="77"/>
  </cols>
  <sheetData>
    <row r="1" spans="1:16" ht="33" customHeight="1">
      <c r="A1" s="370" t="s">
        <v>622</v>
      </c>
      <c r="B1" s="371"/>
      <c r="C1" s="371"/>
      <c r="D1" s="371"/>
      <c r="E1" s="371"/>
      <c r="F1" s="371"/>
      <c r="G1" s="371"/>
      <c r="H1" s="371"/>
      <c r="I1" s="371"/>
      <c r="J1" s="371"/>
      <c r="K1" s="371"/>
      <c r="L1" s="371"/>
      <c r="M1" s="371"/>
      <c r="N1" s="371"/>
      <c r="O1" s="371"/>
      <c r="P1" s="371"/>
    </row>
    <row r="2" spans="1:16" ht="33" customHeight="1" thickBot="1">
      <c r="A2" s="372" t="s">
        <v>514</v>
      </c>
      <c r="B2" s="373"/>
      <c r="C2" s="373"/>
      <c r="D2" s="373"/>
      <c r="E2" s="373"/>
      <c r="F2" s="373"/>
      <c r="G2" s="373"/>
      <c r="H2" s="373"/>
      <c r="I2" s="373"/>
      <c r="J2" s="373"/>
      <c r="K2" s="373"/>
      <c r="L2" s="373"/>
      <c r="M2" s="373"/>
      <c r="N2" s="373"/>
      <c r="O2" s="373"/>
      <c r="P2" s="373"/>
    </row>
    <row r="3" spans="1:16" ht="34.950000000000003" customHeight="1">
      <c r="A3" s="374" t="s">
        <v>384</v>
      </c>
      <c r="B3" s="376" t="s">
        <v>385</v>
      </c>
      <c r="C3" s="378" t="s">
        <v>58</v>
      </c>
      <c r="D3" s="376" t="s">
        <v>386</v>
      </c>
      <c r="E3" s="378" t="s">
        <v>387</v>
      </c>
      <c r="F3" s="376" t="s">
        <v>399</v>
      </c>
      <c r="G3" s="376" t="s">
        <v>400</v>
      </c>
      <c r="H3" s="376" t="s">
        <v>388</v>
      </c>
      <c r="I3" s="376"/>
      <c r="J3" s="376" t="s">
        <v>389</v>
      </c>
      <c r="K3" s="376"/>
      <c r="L3" s="376" t="s">
        <v>390</v>
      </c>
      <c r="M3" s="376"/>
      <c r="N3" s="378" t="s">
        <v>401</v>
      </c>
      <c r="O3" s="378"/>
      <c r="P3" s="380" t="s">
        <v>391</v>
      </c>
    </row>
    <row r="4" spans="1:16" ht="15" thickBot="1">
      <c r="A4" s="375"/>
      <c r="B4" s="377"/>
      <c r="C4" s="377"/>
      <c r="D4" s="379"/>
      <c r="E4" s="377"/>
      <c r="F4" s="379"/>
      <c r="G4" s="379"/>
      <c r="H4" s="78" t="s">
        <v>380</v>
      </c>
      <c r="I4" s="78" t="s">
        <v>381</v>
      </c>
      <c r="J4" s="78" t="s">
        <v>380</v>
      </c>
      <c r="K4" s="78" t="s">
        <v>381</v>
      </c>
      <c r="L4" s="78" t="s">
        <v>380</v>
      </c>
      <c r="M4" s="78" t="s">
        <v>381</v>
      </c>
      <c r="N4" s="78" t="s">
        <v>402</v>
      </c>
      <c r="O4" s="78" t="s">
        <v>403</v>
      </c>
      <c r="P4" s="381"/>
    </row>
    <row r="5" spans="1:16">
      <c r="A5" s="382" t="s">
        <v>404</v>
      </c>
      <c r="B5" s="384" t="s">
        <v>405</v>
      </c>
      <c r="C5" s="384" t="s">
        <v>62</v>
      </c>
      <c r="D5" s="79" t="s">
        <v>15</v>
      </c>
      <c r="E5" s="79" t="s">
        <v>62</v>
      </c>
      <c r="F5" s="79">
        <v>8</v>
      </c>
      <c r="G5" s="79">
        <v>8</v>
      </c>
      <c r="H5" s="79">
        <v>4</v>
      </c>
      <c r="I5" s="79">
        <v>4</v>
      </c>
      <c r="J5" s="79"/>
      <c r="K5" s="79"/>
      <c r="L5" s="79"/>
      <c r="M5" s="79"/>
      <c r="N5" s="386">
        <f>SUM(H5:M7)</f>
        <v>16</v>
      </c>
      <c r="O5" s="386">
        <f>SUM(N5:N15)</f>
        <v>58</v>
      </c>
      <c r="P5" s="80" t="s">
        <v>17</v>
      </c>
    </row>
    <row r="6" spans="1:16">
      <c r="A6" s="382"/>
      <c r="B6" s="384"/>
      <c r="C6" s="384"/>
      <c r="D6" s="79" t="s">
        <v>19</v>
      </c>
      <c r="E6" s="79" t="s">
        <v>69</v>
      </c>
      <c r="F6" s="79">
        <v>5</v>
      </c>
      <c r="G6" s="79">
        <v>4</v>
      </c>
      <c r="H6" s="79"/>
      <c r="I6" s="79"/>
      <c r="J6" s="79">
        <v>4</v>
      </c>
      <c r="K6" s="79"/>
      <c r="L6" s="79"/>
      <c r="M6" s="79"/>
      <c r="N6" s="387"/>
      <c r="O6" s="387"/>
      <c r="P6" s="80" t="s">
        <v>17</v>
      </c>
    </row>
    <row r="7" spans="1:16">
      <c r="A7" s="383"/>
      <c r="B7" s="385"/>
      <c r="C7" s="385"/>
      <c r="D7" s="81" t="s">
        <v>19</v>
      </c>
      <c r="E7" s="81" t="s">
        <v>515</v>
      </c>
      <c r="F7" s="81">
        <v>5</v>
      </c>
      <c r="G7" s="81">
        <v>4</v>
      </c>
      <c r="H7" s="81"/>
      <c r="I7" s="81"/>
      <c r="J7" s="81"/>
      <c r="K7" s="81">
        <v>4</v>
      </c>
      <c r="L7" s="81"/>
      <c r="M7" s="81"/>
      <c r="N7" s="387"/>
      <c r="O7" s="387"/>
      <c r="P7" s="80" t="s">
        <v>17</v>
      </c>
    </row>
    <row r="8" spans="1:16">
      <c r="A8" s="383"/>
      <c r="B8" s="385"/>
      <c r="C8" s="385" t="s">
        <v>76</v>
      </c>
      <c r="D8" s="81" t="s">
        <v>15</v>
      </c>
      <c r="E8" s="81" t="s">
        <v>76</v>
      </c>
      <c r="F8" s="81">
        <v>8</v>
      </c>
      <c r="G8" s="81">
        <v>8</v>
      </c>
      <c r="H8" s="81">
        <v>4</v>
      </c>
      <c r="I8" s="81">
        <v>4</v>
      </c>
      <c r="J8" s="81"/>
      <c r="K8" s="81"/>
      <c r="L8" s="81"/>
      <c r="M8" s="81"/>
      <c r="N8" s="388">
        <f>SUM(H8:M11)</f>
        <v>20</v>
      </c>
      <c r="O8" s="387"/>
      <c r="P8" s="80" t="s">
        <v>17</v>
      </c>
    </row>
    <row r="9" spans="1:16" ht="17.399999999999999">
      <c r="A9" s="383"/>
      <c r="B9" s="385"/>
      <c r="C9" s="385"/>
      <c r="D9" s="81" t="s">
        <v>19</v>
      </c>
      <c r="E9" s="106" t="s">
        <v>550</v>
      </c>
      <c r="F9" s="81">
        <v>5</v>
      </c>
      <c r="G9" s="81">
        <v>4</v>
      </c>
      <c r="H9" s="81"/>
      <c r="I9" s="81"/>
      <c r="J9" s="81">
        <v>4</v>
      </c>
      <c r="K9" s="81"/>
      <c r="L9" s="81"/>
      <c r="M9" s="81"/>
      <c r="N9" s="387"/>
      <c r="O9" s="387"/>
      <c r="P9" s="80" t="s">
        <v>17</v>
      </c>
    </row>
    <row r="10" spans="1:16" ht="17.399999999999999">
      <c r="A10" s="383"/>
      <c r="B10" s="385"/>
      <c r="C10" s="385"/>
      <c r="D10" s="81" t="s">
        <v>19</v>
      </c>
      <c r="E10" s="106" t="s">
        <v>551</v>
      </c>
      <c r="F10" s="81">
        <v>5</v>
      </c>
      <c r="G10" s="81">
        <v>4</v>
      </c>
      <c r="H10" s="81"/>
      <c r="I10" s="81"/>
      <c r="J10" s="81"/>
      <c r="K10" s="81">
        <v>4</v>
      </c>
      <c r="L10" s="81"/>
      <c r="M10" s="81"/>
      <c r="N10" s="387"/>
      <c r="O10" s="387"/>
      <c r="P10" s="80" t="s">
        <v>17</v>
      </c>
    </row>
    <row r="11" spans="1:16">
      <c r="A11" s="383"/>
      <c r="B11" s="385"/>
      <c r="C11" s="385"/>
      <c r="D11" s="81" t="s">
        <v>19</v>
      </c>
      <c r="E11" s="81" t="s">
        <v>516</v>
      </c>
      <c r="F11" s="81">
        <v>5</v>
      </c>
      <c r="G11" s="81">
        <v>4</v>
      </c>
      <c r="H11" s="81"/>
      <c r="I11" s="81"/>
      <c r="J11" s="81">
        <v>2</v>
      </c>
      <c r="K11" s="81">
        <v>2</v>
      </c>
      <c r="L11" s="81"/>
      <c r="M11" s="81"/>
      <c r="N11" s="384"/>
      <c r="O11" s="387"/>
      <c r="P11" s="80" t="s">
        <v>17</v>
      </c>
    </row>
    <row r="12" spans="1:16">
      <c r="A12" s="383"/>
      <c r="B12" s="385"/>
      <c r="C12" s="385" t="s">
        <v>92</v>
      </c>
      <c r="D12" s="81" t="s">
        <v>15</v>
      </c>
      <c r="E12" s="81" t="s">
        <v>92</v>
      </c>
      <c r="F12" s="81">
        <v>8</v>
      </c>
      <c r="G12" s="81">
        <v>8</v>
      </c>
      <c r="H12" s="81">
        <v>4</v>
      </c>
      <c r="I12" s="81">
        <v>4</v>
      </c>
      <c r="J12" s="81"/>
      <c r="K12" s="81"/>
      <c r="L12" s="81"/>
      <c r="M12" s="81"/>
      <c r="N12" s="388">
        <f>SUM(H12:M14)</f>
        <v>16</v>
      </c>
      <c r="O12" s="387"/>
      <c r="P12" s="80" t="s">
        <v>17</v>
      </c>
    </row>
    <row r="13" spans="1:16" ht="17.399999999999999">
      <c r="A13" s="383"/>
      <c r="B13" s="385"/>
      <c r="C13" s="385"/>
      <c r="D13" s="81" t="s">
        <v>392</v>
      </c>
      <c r="E13" s="106" t="s">
        <v>96</v>
      </c>
      <c r="F13" s="81">
        <v>5</v>
      </c>
      <c r="G13" s="81">
        <v>4</v>
      </c>
      <c r="H13" s="81"/>
      <c r="I13" s="81"/>
      <c r="J13" s="81">
        <v>4</v>
      </c>
      <c r="K13" s="81"/>
      <c r="L13" s="81"/>
      <c r="M13" s="81"/>
      <c r="N13" s="387"/>
      <c r="O13" s="387"/>
      <c r="P13" s="80" t="s">
        <v>17</v>
      </c>
    </row>
    <row r="14" spans="1:16" ht="17.399999999999999">
      <c r="A14" s="383"/>
      <c r="B14" s="385"/>
      <c r="C14" s="385"/>
      <c r="D14" s="81" t="s">
        <v>19</v>
      </c>
      <c r="E14" s="106" t="s">
        <v>97</v>
      </c>
      <c r="F14" s="81">
        <v>5</v>
      </c>
      <c r="G14" s="81">
        <v>4</v>
      </c>
      <c r="H14" s="81"/>
      <c r="I14" s="81"/>
      <c r="J14" s="81"/>
      <c r="K14" s="81">
        <v>4</v>
      </c>
      <c r="L14" s="81"/>
      <c r="M14" s="81"/>
      <c r="N14" s="387"/>
      <c r="O14" s="387"/>
      <c r="P14" s="80" t="s">
        <v>17</v>
      </c>
    </row>
    <row r="15" spans="1:16">
      <c r="A15" s="383"/>
      <c r="B15" s="385"/>
      <c r="C15" s="81" t="s">
        <v>393</v>
      </c>
      <c r="D15" s="81" t="s">
        <v>15</v>
      </c>
      <c r="E15" s="81" t="s">
        <v>393</v>
      </c>
      <c r="F15" s="81">
        <v>6</v>
      </c>
      <c r="G15" s="81">
        <v>6</v>
      </c>
      <c r="H15" s="81">
        <v>3</v>
      </c>
      <c r="I15" s="81">
        <v>3</v>
      </c>
      <c r="J15" s="81"/>
      <c r="K15" s="81"/>
      <c r="L15" s="81"/>
      <c r="M15" s="81"/>
      <c r="N15" s="81">
        <f>SUM(H15:M15)</f>
        <v>6</v>
      </c>
      <c r="O15" s="384"/>
      <c r="P15" s="80" t="s">
        <v>17</v>
      </c>
    </row>
    <row r="16" spans="1:16">
      <c r="A16" s="383"/>
      <c r="B16" s="385" t="s">
        <v>394</v>
      </c>
      <c r="C16" s="81" t="s">
        <v>378</v>
      </c>
      <c r="D16" s="81" t="s">
        <v>15</v>
      </c>
      <c r="E16" s="81" t="s">
        <v>517</v>
      </c>
      <c r="F16" s="81">
        <v>8</v>
      </c>
      <c r="G16" s="81">
        <v>6</v>
      </c>
      <c r="H16" s="81">
        <v>3</v>
      </c>
      <c r="I16" s="81">
        <v>3</v>
      </c>
      <c r="J16" s="81"/>
      <c r="K16" s="81"/>
      <c r="L16" s="81"/>
      <c r="M16" s="81"/>
      <c r="N16" s="82">
        <f>SUM(H16:M16)</f>
        <v>6</v>
      </c>
      <c r="O16" s="388">
        <f>SUM(N16:N18)</f>
        <v>14</v>
      </c>
      <c r="P16" s="80" t="s">
        <v>17</v>
      </c>
    </row>
    <row r="17" spans="1:16">
      <c r="A17" s="383"/>
      <c r="B17" s="385"/>
      <c r="C17" s="385" t="s">
        <v>128</v>
      </c>
      <c r="D17" s="81" t="s">
        <v>15</v>
      </c>
      <c r="E17" s="81" t="s">
        <v>518</v>
      </c>
      <c r="F17" s="81">
        <v>8</v>
      </c>
      <c r="G17" s="81">
        <v>6</v>
      </c>
      <c r="H17" s="81">
        <v>3</v>
      </c>
      <c r="I17" s="81">
        <v>3</v>
      </c>
      <c r="J17" s="81"/>
      <c r="K17" s="81"/>
      <c r="L17" s="81"/>
      <c r="M17" s="81"/>
      <c r="N17" s="388">
        <f>SUM(H17:M18)</f>
        <v>8</v>
      </c>
      <c r="O17" s="387"/>
      <c r="P17" s="80" t="s">
        <v>17</v>
      </c>
    </row>
    <row r="18" spans="1:16">
      <c r="A18" s="383"/>
      <c r="B18" s="385"/>
      <c r="C18" s="385"/>
      <c r="D18" s="81" t="s">
        <v>15</v>
      </c>
      <c r="E18" s="81" t="s">
        <v>519</v>
      </c>
      <c r="F18" s="81">
        <v>2</v>
      </c>
      <c r="G18" s="81">
        <v>2</v>
      </c>
      <c r="H18" s="81">
        <v>1</v>
      </c>
      <c r="I18" s="81">
        <v>1</v>
      </c>
      <c r="J18" s="81"/>
      <c r="K18" s="81"/>
      <c r="L18" s="81"/>
      <c r="M18" s="81"/>
      <c r="N18" s="384"/>
      <c r="O18" s="384"/>
      <c r="P18" s="80" t="s">
        <v>33</v>
      </c>
    </row>
    <row r="19" spans="1:16">
      <c r="A19" s="383"/>
      <c r="B19" s="389" t="s">
        <v>395</v>
      </c>
      <c r="C19" s="385" t="s">
        <v>146</v>
      </c>
      <c r="D19" s="81" t="s">
        <v>19</v>
      </c>
      <c r="E19" s="81" t="s">
        <v>146</v>
      </c>
      <c r="F19" s="81">
        <v>5</v>
      </c>
      <c r="G19" s="81">
        <v>6</v>
      </c>
      <c r="H19" s="81">
        <v>1</v>
      </c>
      <c r="I19" s="81">
        <v>1</v>
      </c>
      <c r="J19" s="81">
        <v>2</v>
      </c>
      <c r="K19" s="81">
        <v>2</v>
      </c>
      <c r="L19" s="81"/>
      <c r="M19" s="81"/>
      <c r="N19" s="388">
        <f t="shared" ref="N19" si="0">SUM(H19:M20)</f>
        <v>10</v>
      </c>
      <c r="O19" s="388">
        <f>SUM(N19:N23)</f>
        <v>20</v>
      </c>
      <c r="P19" s="80" t="s">
        <v>33</v>
      </c>
    </row>
    <row r="20" spans="1:16">
      <c r="A20" s="383"/>
      <c r="B20" s="385"/>
      <c r="C20" s="385"/>
      <c r="D20" s="81" t="s">
        <v>19</v>
      </c>
      <c r="E20" s="81" t="s">
        <v>520</v>
      </c>
      <c r="F20" s="81">
        <v>5</v>
      </c>
      <c r="G20" s="81">
        <v>4</v>
      </c>
      <c r="H20" s="81"/>
      <c r="I20" s="81"/>
      <c r="J20" s="81"/>
      <c r="K20" s="81"/>
      <c r="L20" s="81">
        <v>2</v>
      </c>
      <c r="M20" s="81">
        <v>2</v>
      </c>
      <c r="N20" s="384"/>
      <c r="O20" s="387"/>
      <c r="P20" s="80" t="s">
        <v>33</v>
      </c>
    </row>
    <row r="21" spans="1:16">
      <c r="A21" s="383"/>
      <c r="B21" s="385"/>
      <c r="C21" s="385" t="s">
        <v>156</v>
      </c>
      <c r="D21" s="81" t="s">
        <v>19</v>
      </c>
      <c r="E21" s="81" t="s">
        <v>158</v>
      </c>
      <c r="F21" s="81">
        <v>5</v>
      </c>
      <c r="G21" s="81">
        <v>4</v>
      </c>
      <c r="H21" s="81">
        <v>2</v>
      </c>
      <c r="I21" s="81">
        <v>2</v>
      </c>
      <c r="J21" s="81"/>
      <c r="K21" s="81"/>
      <c r="L21" s="81"/>
      <c r="M21" s="81"/>
      <c r="N21" s="388">
        <f>SUM(H21:M23)</f>
        <v>10</v>
      </c>
      <c r="O21" s="387"/>
      <c r="P21" s="80" t="s">
        <v>33</v>
      </c>
    </row>
    <row r="22" spans="1:16">
      <c r="A22" s="383"/>
      <c r="B22" s="385"/>
      <c r="C22" s="385"/>
      <c r="D22" s="81" t="s">
        <v>37</v>
      </c>
      <c r="E22" s="81" t="s">
        <v>521</v>
      </c>
      <c r="F22" s="81">
        <v>5</v>
      </c>
      <c r="G22" s="81">
        <v>2</v>
      </c>
      <c r="H22" s="81"/>
      <c r="I22" s="81"/>
      <c r="J22" s="81">
        <v>1</v>
      </c>
      <c r="K22" s="81">
        <v>1</v>
      </c>
      <c r="L22" s="81"/>
      <c r="M22" s="81"/>
      <c r="N22" s="387"/>
      <c r="O22" s="387"/>
      <c r="P22" s="80" t="s">
        <v>376</v>
      </c>
    </row>
    <row r="23" spans="1:16">
      <c r="A23" s="383"/>
      <c r="B23" s="385"/>
      <c r="C23" s="385"/>
      <c r="D23" s="81" t="s">
        <v>19</v>
      </c>
      <c r="E23" s="81" t="s">
        <v>157</v>
      </c>
      <c r="F23" s="81">
        <v>5</v>
      </c>
      <c r="G23" s="81">
        <v>4</v>
      </c>
      <c r="H23" s="81"/>
      <c r="I23" s="81"/>
      <c r="J23" s="81">
        <v>2</v>
      </c>
      <c r="K23" s="81">
        <v>2</v>
      </c>
      <c r="L23" s="81"/>
      <c r="M23" s="81"/>
      <c r="N23" s="384"/>
      <c r="O23" s="384"/>
      <c r="P23" s="80" t="s">
        <v>33</v>
      </c>
    </row>
    <row r="24" spans="1:16">
      <c r="A24" s="383"/>
      <c r="B24" s="390" t="s">
        <v>564</v>
      </c>
      <c r="C24" s="385" t="s">
        <v>166</v>
      </c>
      <c r="D24" s="81" t="s">
        <v>19</v>
      </c>
      <c r="E24" s="81" t="s">
        <v>522</v>
      </c>
      <c r="F24" s="81">
        <v>5</v>
      </c>
      <c r="G24" s="81">
        <v>4</v>
      </c>
      <c r="H24" s="81">
        <v>2</v>
      </c>
      <c r="I24" s="81">
        <v>2</v>
      </c>
      <c r="J24" s="81"/>
      <c r="K24" s="81"/>
      <c r="L24" s="81"/>
      <c r="M24" s="81"/>
      <c r="N24" s="388">
        <f t="shared" ref="N24" si="1">SUM(H24:M25)</f>
        <v>8</v>
      </c>
      <c r="O24" s="388">
        <f>SUM(N24:N25)</f>
        <v>8</v>
      </c>
      <c r="P24" s="80" t="s">
        <v>17</v>
      </c>
    </row>
    <row r="25" spans="1:16" ht="15" thickBot="1">
      <c r="A25" s="383"/>
      <c r="B25" s="391"/>
      <c r="C25" s="385"/>
      <c r="D25" s="81" t="s">
        <v>19</v>
      </c>
      <c r="E25" s="81" t="s">
        <v>173</v>
      </c>
      <c r="F25" s="81">
        <v>5</v>
      </c>
      <c r="G25" s="81">
        <v>4</v>
      </c>
      <c r="H25" s="81">
        <v>2</v>
      </c>
      <c r="I25" s="81">
        <v>2</v>
      </c>
      <c r="J25" s="81"/>
      <c r="K25" s="81"/>
      <c r="L25" s="81"/>
      <c r="M25" s="81"/>
      <c r="N25" s="384"/>
      <c r="O25" s="387"/>
      <c r="P25" s="80" t="s">
        <v>17</v>
      </c>
    </row>
    <row r="26" spans="1:16" ht="15" thickBot="1">
      <c r="A26" s="392" t="s">
        <v>406</v>
      </c>
      <c r="B26" s="393"/>
      <c r="C26" s="393"/>
      <c r="D26" s="393"/>
      <c r="E26" s="393"/>
      <c r="F26" s="83"/>
      <c r="G26" s="83"/>
      <c r="H26" s="84">
        <f t="shared" ref="H26:M26" si="2">SUM(H5:H25)</f>
        <v>29</v>
      </c>
      <c r="I26" s="84">
        <f t="shared" si="2"/>
        <v>29</v>
      </c>
      <c r="J26" s="84">
        <f t="shared" si="2"/>
        <v>19</v>
      </c>
      <c r="K26" s="84">
        <f t="shared" si="2"/>
        <v>19</v>
      </c>
      <c r="L26" s="84">
        <f t="shared" si="2"/>
        <v>2</v>
      </c>
      <c r="M26" s="84">
        <f t="shared" si="2"/>
        <v>2</v>
      </c>
      <c r="N26" s="83"/>
      <c r="O26" s="84">
        <f>SUM(O5:O25)</f>
        <v>100</v>
      </c>
      <c r="P26" s="85"/>
    </row>
    <row r="27" spans="1:16" ht="17.399999999999999" customHeight="1">
      <c r="A27" s="411" t="s">
        <v>407</v>
      </c>
      <c r="B27" s="395" t="s">
        <v>408</v>
      </c>
      <c r="C27" s="386" t="s">
        <v>378</v>
      </c>
      <c r="D27" s="86" t="s">
        <v>19</v>
      </c>
      <c r="E27" s="86" t="s">
        <v>523</v>
      </c>
      <c r="F27" s="86">
        <v>5</v>
      </c>
      <c r="G27" s="86">
        <v>4</v>
      </c>
      <c r="H27" s="86"/>
      <c r="I27" s="86"/>
      <c r="J27" s="87">
        <v>4</v>
      </c>
      <c r="K27" s="88">
        <v>4</v>
      </c>
      <c r="L27" s="86"/>
      <c r="M27" s="86"/>
      <c r="N27" s="386">
        <f>SUM(H27:M33)</f>
        <v>16</v>
      </c>
      <c r="O27" s="386">
        <f>SUM(N27:N27)</f>
        <v>16</v>
      </c>
      <c r="P27" s="89" t="s">
        <v>17</v>
      </c>
    </row>
    <row r="28" spans="1:16">
      <c r="A28" s="411"/>
      <c r="B28" s="397"/>
      <c r="C28" s="387"/>
      <c r="D28" s="81" t="s">
        <v>19</v>
      </c>
      <c r="E28" s="81" t="s">
        <v>524</v>
      </c>
      <c r="F28" s="79">
        <v>5</v>
      </c>
      <c r="G28" s="79">
        <v>4</v>
      </c>
      <c r="H28" s="81"/>
      <c r="I28" s="81"/>
      <c r="J28" s="90">
        <v>4</v>
      </c>
      <c r="K28" s="90">
        <v>4</v>
      </c>
      <c r="L28" s="81"/>
      <c r="M28" s="81"/>
      <c r="N28" s="387"/>
      <c r="O28" s="387"/>
      <c r="P28" s="80" t="s">
        <v>17</v>
      </c>
    </row>
    <row r="29" spans="1:16">
      <c r="A29" s="411"/>
      <c r="B29" s="397"/>
      <c r="C29" s="387"/>
      <c r="D29" s="81" t="s">
        <v>19</v>
      </c>
      <c r="E29" s="81" t="s">
        <v>525</v>
      </c>
      <c r="F29" s="79">
        <v>5</v>
      </c>
      <c r="G29" s="79">
        <v>4</v>
      </c>
      <c r="H29" s="81"/>
      <c r="I29" s="81"/>
      <c r="J29" s="90"/>
      <c r="K29" s="90"/>
      <c r="L29" s="81"/>
      <c r="M29" s="81"/>
      <c r="N29" s="387"/>
      <c r="O29" s="387"/>
      <c r="P29" s="80" t="s">
        <v>17</v>
      </c>
    </row>
    <row r="30" spans="1:16">
      <c r="A30" s="411"/>
      <c r="B30" s="397"/>
      <c r="C30" s="384"/>
      <c r="D30" s="81" t="s">
        <v>19</v>
      </c>
      <c r="E30" s="81" t="s">
        <v>110</v>
      </c>
      <c r="F30" s="79">
        <v>5</v>
      </c>
      <c r="G30" s="79">
        <v>4</v>
      </c>
      <c r="H30" s="81"/>
      <c r="I30" s="81"/>
      <c r="J30" s="90"/>
      <c r="K30" s="90"/>
      <c r="L30" s="81"/>
      <c r="M30" s="81"/>
      <c r="N30" s="387"/>
      <c r="O30" s="387"/>
      <c r="P30" s="80" t="s">
        <v>17</v>
      </c>
    </row>
    <row r="31" spans="1:16" ht="17.399999999999999">
      <c r="A31" s="411"/>
      <c r="B31" s="397"/>
      <c r="C31" s="388" t="s">
        <v>128</v>
      </c>
      <c r="D31" s="81" t="s">
        <v>19</v>
      </c>
      <c r="E31" s="106" t="s">
        <v>552</v>
      </c>
      <c r="F31" s="79">
        <v>5</v>
      </c>
      <c r="G31" s="79">
        <v>4</v>
      </c>
      <c r="H31" s="81"/>
      <c r="I31" s="81"/>
      <c r="J31" s="90"/>
      <c r="K31" s="90"/>
      <c r="L31" s="81"/>
      <c r="M31" s="81"/>
      <c r="N31" s="387"/>
      <c r="O31" s="387"/>
      <c r="P31" s="80" t="s">
        <v>17</v>
      </c>
    </row>
    <row r="32" spans="1:16" ht="17.399999999999999">
      <c r="A32" s="411"/>
      <c r="B32" s="397"/>
      <c r="C32" s="387"/>
      <c r="D32" s="81" t="s">
        <v>19</v>
      </c>
      <c r="E32" s="106" t="s">
        <v>553</v>
      </c>
      <c r="F32" s="79">
        <v>5</v>
      </c>
      <c r="G32" s="79">
        <v>4</v>
      </c>
      <c r="H32" s="81"/>
      <c r="I32" s="81"/>
      <c r="J32" s="90"/>
      <c r="K32" s="90"/>
      <c r="L32" s="81"/>
      <c r="M32" s="81"/>
      <c r="N32" s="387"/>
      <c r="O32" s="387"/>
      <c r="P32" s="80" t="s">
        <v>17</v>
      </c>
    </row>
    <row r="33" spans="1:16" ht="17.399999999999999">
      <c r="A33" s="411"/>
      <c r="B33" s="397"/>
      <c r="C33" s="387"/>
      <c r="D33" s="81" t="s">
        <v>19</v>
      </c>
      <c r="E33" s="106" t="s">
        <v>555</v>
      </c>
      <c r="F33" s="79">
        <v>5</v>
      </c>
      <c r="G33" s="79">
        <v>4</v>
      </c>
      <c r="H33" s="81"/>
      <c r="I33" s="81"/>
      <c r="J33" s="90"/>
      <c r="K33" s="90"/>
      <c r="L33" s="81"/>
      <c r="M33" s="81"/>
      <c r="N33" s="387"/>
      <c r="O33" s="387"/>
      <c r="P33" s="80" t="s">
        <v>17</v>
      </c>
    </row>
    <row r="34" spans="1:16" ht="18" thickBot="1">
      <c r="A34" s="411"/>
      <c r="B34" s="396"/>
      <c r="C34" s="394"/>
      <c r="D34" s="91" t="s">
        <v>19</v>
      </c>
      <c r="E34" s="107" t="s">
        <v>554</v>
      </c>
      <c r="F34" s="92">
        <v>5</v>
      </c>
      <c r="G34" s="92">
        <v>4</v>
      </c>
      <c r="H34" s="91"/>
      <c r="I34" s="91"/>
      <c r="J34" s="92"/>
      <c r="K34" s="92"/>
      <c r="L34" s="91"/>
      <c r="M34" s="91"/>
      <c r="N34" s="394"/>
      <c r="O34" s="394"/>
      <c r="P34" s="93" t="s">
        <v>17</v>
      </c>
    </row>
    <row r="35" spans="1:16" ht="16.5" customHeight="1">
      <c r="A35" s="411"/>
      <c r="B35" s="395" t="s">
        <v>409</v>
      </c>
      <c r="C35" s="386" t="s">
        <v>375</v>
      </c>
      <c r="D35" s="86" t="s">
        <v>19</v>
      </c>
      <c r="E35" s="108" t="s">
        <v>556</v>
      </c>
      <c r="F35" s="86">
        <v>5</v>
      </c>
      <c r="G35" s="86">
        <v>4</v>
      </c>
      <c r="H35" s="86"/>
      <c r="I35" s="86"/>
      <c r="J35" s="88">
        <v>2</v>
      </c>
      <c r="K35" s="88">
        <v>2</v>
      </c>
      <c r="L35" s="86"/>
      <c r="M35" s="86"/>
      <c r="N35" s="386">
        <f>SUM(H35:M36)</f>
        <v>4</v>
      </c>
      <c r="O35" s="386">
        <f>SUM(I35:M36)</f>
        <v>4</v>
      </c>
      <c r="P35" s="89" t="s">
        <v>17</v>
      </c>
    </row>
    <row r="36" spans="1:16" ht="18" thickBot="1">
      <c r="A36" s="411"/>
      <c r="B36" s="396"/>
      <c r="C36" s="394"/>
      <c r="D36" s="91" t="s">
        <v>19</v>
      </c>
      <c r="E36" s="107" t="s">
        <v>557</v>
      </c>
      <c r="F36" s="91">
        <v>5</v>
      </c>
      <c r="G36" s="91">
        <v>4</v>
      </c>
      <c r="H36" s="91"/>
      <c r="I36" s="91"/>
      <c r="J36" s="92"/>
      <c r="K36" s="92"/>
      <c r="L36" s="91"/>
      <c r="M36" s="91"/>
      <c r="N36" s="394"/>
      <c r="O36" s="394"/>
      <c r="P36" s="93" t="s">
        <v>17</v>
      </c>
    </row>
    <row r="37" spans="1:16" ht="16.5" customHeight="1">
      <c r="A37" s="411"/>
      <c r="B37" s="395" t="s">
        <v>410</v>
      </c>
      <c r="C37" s="386" t="s">
        <v>62</v>
      </c>
      <c r="D37" s="86" t="s">
        <v>19</v>
      </c>
      <c r="E37" s="86" t="s">
        <v>526</v>
      </c>
      <c r="F37" s="86">
        <v>5</v>
      </c>
      <c r="G37" s="86">
        <v>6</v>
      </c>
      <c r="H37" s="86"/>
      <c r="I37" s="86"/>
      <c r="J37" s="86"/>
      <c r="K37" s="86"/>
      <c r="L37" s="94">
        <v>3</v>
      </c>
      <c r="M37" s="95">
        <v>3</v>
      </c>
      <c r="N37" s="386">
        <f>SUM(H37:M44)</f>
        <v>24</v>
      </c>
      <c r="O37" s="386">
        <f>SUM(I37:M44)</f>
        <v>24</v>
      </c>
      <c r="P37" s="89" t="s">
        <v>17</v>
      </c>
    </row>
    <row r="38" spans="1:16">
      <c r="A38" s="411"/>
      <c r="B38" s="397"/>
      <c r="C38" s="387"/>
      <c r="D38" s="81" t="s">
        <v>19</v>
      </c>
      <c r="E38" s="81" t="s">
        <v>527</v>
      </c>
      <c r="F38" s="81">
        <v>5</v>
      </c>
      <c r="G38" s="81">
        <v>6</v>
      </c>
      <c r="H38" s="81"/>
      <c r="I38" s="81"/>
      <c r="J38" s="81"/>
      <c r="K38" s="81"/>
      <c r="L38" s="96">
        <v>3</v>
      </c>
      <c r="M38" s="97">
        <v>3</v>
      </c>
      <c r="N38" s="387"/>
      <c r="O38" s="387"/>
      <c r="P38" s="80" t="s">
        <v>17</v>
      </c>
    </row>
    <row r="39" spans="1:16">
      <c r="A39" s="411"/>
      <c r="B39" s="397"/>
      <c r="C39" s="384"/>
      <c r="D39" s="81" t="s">
        <v>37</v>
      </c>
      <c r="E39" s="81" t="s">
        <v>528</v>
      </c>
      <c r="F39" s="81">
        <v>5</v>
      </c>
      <c r="G39" s="81">
        <v>6</v>
      </c>
      <c r="H39" s="81"/>
      <c r="I39" s="81"/>
      <c r="J39" s="81"/>
      <c r="K39" s="81"/>
      <c r="L39" s="96">
        <v>3</v>
      </c>
      <c r="M39" s="97">
        <v>3</v>
      </c>
      <c r="N39" s="387"/>
      <c r="O39" s="387"/>
      <c r="P39" s="80" t="s">
        <v>376</v>
      </c>
    </row>
    <row r="40" spans="1:16">
      <c r="A40" s="411"/>
      <c r="B40" s="397"/>
      <c r="C40" s="388" t="s">
        <v>76</v>
      </c>
      <c r="D40" s="81" t="s">
        <v>19</v>
      </c>
      <c r="E40" s="81" t="s">
        <v>396</v>
      </c>
      <c r="F40" s="81">
        <v>5</v>
      </c>
      <c r="G40" s="81">
        <v>6</v>
      </c>
      <c r="H40" s="81"/>
      <c r="I40" s="81"/>
      <c r="J40" s="81"/>
      <c r="K40" s="81"/>
      <c r="L40" s="96">
        <v>3</v>
      </c>
      <c r="M40" s="97">
        <v>3</v>
      </c>
      <c r="N40" s="387"/>
      <c r="O40" s="387"/>
      <c r="P40" s="80" t="s">
        <v>17</v>
      </c>
    </row>
    <row r="41" spans="1:16">
      <c r="A41" s="411"/>
      <c r="B41" s="397"/>
      <c r="C41" s="387"/>
      <c r="D41" s="81" t="s">
        <v>37</v>
      </c>
      <c r="E41" s="81" t="s">
        <v>84</v>
      </c>
      <c r="F41" s="81">
        <v>5</v>
      </c>
      <c r="G41" s="81">
        <v>6</v>
      </c>
      <c r="H41" s="81"/>
      <c r="I41" s="81"/>
      <c r="J41" s="81"/>
      <c r="K41" s="81"/>
      <c r="L41" s="96"/>
      <c r="M41" s="97"/>
      <c r="N41" s="387"/>
      <c r="O41" s="387"/>
      <c r="P41" s="80" t="s">
        <v>376</v>
      </c>
    </row>
    <row r="42" spans="1:16">
      <c r="A42" s="411"/>
      <c r="B42" s="397"/>
      <c r="C42" s="384"/>
      <c r="D42" s="81" t="s">
        <v>37</v>
      </c>
      <c r="E42" s="81" t="s">
        <v>529</v>
      </c>
      <c r="F42" s="81">
        <v>5</v>
      </c>
      <c r="G42" s="81">
        <v>6</v>
      </c>
      <c r="H42" s="81"/>
      <c r="I42" s="81"/>
      <c r="J42" s="81"/>
      <c r="K42" s="81"/>
      <c r="L42" s="96"/>
      <c r="M42" s="97"/>
      <c r="N42" s="387"/>
      <c r="O42" s="387"/>
      <c r="P42" s="80" t="s">
        <v>376</v>
      </c>
    </row>
    <row r="43" spans="1:16">
      <c r="A43" s="411"/>
      <c r="B43" s="397"/>
      <c r="C43" s="388" t="s">
        <v>92</v>
      </c>
      <c r="D43" s="81" t="s">
        <v>19</v>
      </c>
      <c r="E43" s="81" t="s">
        <v>530</v>
      </c>
      <c r="F43" s="81">
        <v>5</v>
      </c>
      <c r="G43" s="81">
        <v>6</v>
      </c>
      <c r="H43" s="81"/>
      <c r="I43" s="81"/>
      <c r="J43" s="81"/>
      <c r="K43" s="81"/>
      <c r="L43" s="96"/>
      <c r="M43" s="97"/>
      <c r="N43" s="387"/>
      <c r="O43" s="387"/>
      <c r="P43" s="80" t="s">
        <v>17</v>
      </c>
    </row>
    <row r="44" spans="1:16">
      <c r="A44" s="411"/>
      <c r="B44" s="397"/>
      <c r="C44" s="387"/>
      <c r="D44" s="81" t="s">
        <v>19</v>
      </c>
      <c r="E44" s="81" t="s">
        <v>531</v>
      </c>
      <c r="F44" s="81">
        <v>5</v>
      </c>
      <c r="G44" s="81">
        <v>6</v>
      </c>
      <c r="H44" s="81"/>
      <c r="I44" s="81"/>
      <c r="J44" s="81"/>
      <c r="K44" s="81"/>
      <c r="L44" s="96"/>
      <c r="M44" s="97"/>
      <c r="N44" s="387"/>
      <c r="O44" s="387"/>
      <c r="P44" s="80" t="s">
        <v>17</v>
      </c>
    </row>
    <row r="45" spans="1:16" ht="15" thickBot="1">
      <c r="A45" s="411"/>
      <c r="B45" s="396"/>
      <c r="C45" s="394"/>
      <c r="D45" s="91" t="s">
        <v>37</v>
      </c>
      <c r="E45" s="91" t="s">
        <v>532</v>
      </c>
      <c r="F45" s="91">
        <v>5</v>
      </c>
      <c r="G45" s="91">
        <v>6</v>
      </c>
      <c r="H45" s="91"/>
      <c r="I45" s="91"/>
      <c r="J45" s="91"/>
      <c r="K45" s="91"/>
      <c r="L45" s="98"/>
      <c r="M45" s="99"/>
      <c r="N45" s="394"/>
      <c r="O45" s="394"/>
      <c r="P45" s="93" t="s">
        <v>376</v>
      </c>
    </row>
    <row r="46" spans="1:16" ht="16.5" customHeight="1">
      <c r="A46" s="411"/>
      <c r="B46" s="395" t="s">
        <v>411</v>
      </c>
      <c r="C46" s="386" t="s">
        <v>378</v>
      </c>
      <c r="D46" s="86" t="s">
        <v>19</v>
      </c>
      <c r="E46" s="86" t="s">
        <v>118</v>
      </c>
      <c r="F46" s="86">
        <v>5</v>
      </c>
      <c r="G46" s="86">
        <v>6</v>
      </c>
      <c r="H46" s="86"/>
      <c r="I46" s="86"/>
      <c r="J46" s="86"/>
      <c r="K46" s="86"/>
      <c r="L46" s="88">
        <v>3</v>
      </c>
      <c r="M46" s="88">
        <v>3</v>
      </c>
      <c r="N46" s="386">
        <f>SUM(H46:M53)</f>
        <v>18</v>
      </c>
      <c r="O46" s="386">
        <f>SUM(I46:M53)</f>
        <v>18</v>
      </c>
      <c r="P46" s="89" t="s">
        <v>17</v>
      </c>
    </row>
    <row r="47" spans="1:16">
      <c r="A47" s="411"/>
      <c r="B47" s="397"/>
      <c r="C47" s="387"/>
      <c r="D47" s="81" t="s">
        <v>19</v>
      </c>
      <c r="E47" s="81" t="s">
        <v>533</v>
      </c>
      <c r="F47" s="81">
        <v>5</v>
      </c>
      <c r="G47" s="81">
        <v>6</v>
      </c>
      <c r="H47" s="81"/>
      <c r="I47" s="81"/>
      <c r="J47" s="81"/>
      <c r="K47" s="81"/>
      <c r="L47" s="90">
        <v>3</v>
      </c>
      <c r="M47" s="90">
        <v>3</v>
      </c>
      <c r="N47" s="387"/>
      <c r="O47" s="387"/>
      <c r="P47" s="80" t="s">
        <v>17</v>
      </c>
    </row>
    <row r="48" spans="1:16">
      <c r="A48" s="411"/>
      <c r="B48" s="397"/>
      <c r="C48" s="387"/>
      <c r="D48" s="81" t="s">
        <v>19</v>
      </c>
      <c r="E48" s="81" t="s">
        <v>534</v>
      </c>
      <c r="F48" s="81">
        <v>5</v>
      </c>
      <c r="G48" s="81">
        <v>6</v>
      </c>
      <c r="H48" s="81"/>
      <c r="I48" s="81"/>
      <c r="J48" s="81"/>
      <c r="K48" s="81"/>
      <c r="L48" s="90">
        <v>3</v>
      </c>
      <c r="M48" s="90">
        <v>3</v>
      </c>
      <c r="N48" s="387"/>
      <c r="O48" s="387"/>
      <c r="P48" s="80" t="s">
        <v>17</v>
      </c>
    </row>
    <row r="49" spans="1:16">
      <c r="A49" s="411"/>
      <c r="B49" s="397"/>
      <c r="C49" s="387"/>
      <c r="D49" s="81" t="s">
        <v>19</v>
      </c>
      <c r="E49" s="81" t="s">
        <v>397</v>
      </c>
      <c r="F49" s="81">
        <v>5</v>
      </c>
      <c r="G49" s="81">
        <v>6</v>
      </c>
      <c r="H49" s="81"/>
      <c r="I49" s="81"/>
      <c r="J49" s="81"/>
      <c r="K49" s="81"/>
      <c r="L49" s="90"/>
      <c r="M49" s="90"/>
      <c r="N49" s="387"/>
      <c r="O49" s="387"/>
      <c r="P49" s="80" t="s">
        <v>17</v>
      </c>
    </row>
    <row r="50" spans="1:16">
      <c r="A50" s="411"/>
      <c r="B50" s="397"/>
      <c r="C50" s="384"/>
      <c r="D50" s="81" t="s">
        <v>19</v>
      </c>
      <c r="E50" s="81" t="s">
        <v>535</v>
      </c>
      <c r="F50" s="81">
        <v>5</v>
      </c>
      <c r="G50" s="81">
        <v>6</v>
      </c>
      <c r="H50" s="81"/>
      <c r="I50" s="81"/>
      <c r="J50" s="81"/>
      <c r="K50" s="81"/>
      <c r="L50" s="90"/>
      <c r="M50" s="90"/>
      <c r="N50" s="387"/>
      <c r="O50" s="387"/>
      <c r="P50" s="80" t="s">
        <v>17</v>
      </c>
    </row>
    <row r="51" spans="1:16" ht="17.399999999999999">
      <c r="A51" s="411"/>
      <c r="B51" s="397"/>
      <c r="C51" s="388" t="s">
        <v>128</v>
      </c>
      <c r="D51" s="81" t="s">
        <v>37</v>
      </c>
      <c r="E51" s="106" t="s">
        <v>558</v>
      </c>
      <c r="F51" s="81">
        <v>5</v>
      </c>
      <c r="G51" s="81">
        <v>6</v>
      </c>
      <c r="H51" s="81"/>
      <c r="I51" s="81"/>
      <c r="J51" s="81"/>
      <c r="K51" s="81"/>
      <c r="L51" s="90"/>
      <c r="M51" s="90"/>
      <c r="N51" s="387"/>
      <c r="O51" s="387"/>
      <c r="P51" s="80" t="s">
        <v>376</v>
      </c>
    </row>
    <row r="52" spans="1:16" ht="17.399999999999999">
      <c r="A52" s="411"/>
      <c r="B52" s="397"/>
      <c r="C52" s="387"/>
      <c r="D52" s="81" t="s">
        <v>37</v>
      </c>
      <c r="E52" s="106" t="s">
        <v>559</v>
      </c>
      <c r="F52" s="81">
        <v>5</v>
      </c>
      <c r="G52" s="81">
        <v>6</v>
      </c>
      <c r="H52" s="81"/>
      <c r="I52" s="81"/>
      <c r="J52" s="81"/>
      <c r="K52" s="81"/>
      <c r="L52" s="90"/>
      <c r="M52" s="90"/>
      <c r="N52" s="387"/>
      <c r="O52" s="387"/>
      <c r="P52" s="80" t="s">
        <v>376</v>
      </c>
    </row>
    <row r="53" spans="1:16" ht="17.399999999999999">
      <c r="A53" s="411"/>
      <c r="B53" s="397"/>
      <c r="C53" s="387"/>
      <c r="D53" s="81" t="s">
        <v>37</v>
      </c>
      <c r="E53" s="106" t="s">
        <v>560</v>
      </c>
      <c r="F53" s="81">
        <v>5</v>
      </c>
      <c r="G53" s="81">
        <v>6</v>
      </c>
      <c r="H53" s="81"/>
      <c r="I53" s="81"/>
      <c r="J53" s="81"/>
      <c r="K53" s="81"/>
      <c r="L53" s="90"/>
      <c r="M53" s="90"/>
      <c r="N53" s="387"/>
      <c r="O53" s="387"/>
      <c r="P53" s="80" t="s">
        <v>376</v>
      </c>
    </row>
    <row r="54" spans="1:16" ht="17.399999999999999" customHeight="1" thickBot="1">
      <c r="A54" s="411"/>
      <c r="B54" s="396"/>
      <c r="C54" s="394"/>
      <c r="D54" s="91" t="s">
        <v>37</v>
      </c>
      <c r="E54" s="107" t="s">
        <v>561</v>
      </c>
      <c r="F54" s="91">
        <v>5</v>
      </c>
      <c r="G54" s="91">
        <v>6</v>
      </c>
      <c r="H54" s="91"/>
      <c r="I54" s="91"/>
      <c r="J54" s="91"/>
      <c r="K54" s="91"/>
      <c r="L54" s="92"/>
      <c r="M54" s="92"/>
      <c r="N54" s="394"/>
      <c r="O54" s="394"/>
      <c r="P54" s="93" t="s">
        <v>376</v>
      </c>
    </row>
    <row r="55" spans="1:16">
      <c r="A55" s="411"/>
      <c r="B55" s="395" t="s">
        <v>412</v>
      </c>
      <c r="C55" s="386" t="s">
        <v>378</v>
      </c>
      <c r="D55" s="86" t="s">
        <v>37</v>
      </c>
      <c r="E55" s="86" t="s">
        <v>536</v>
      </c>
      <c r="F55" s="86">
        <v>5</v>
      </c>
      <c r="G55" s="86">
        <v>4</v>
      </c>
      <c r="H55" s="86"/>
      <c r="I55" s="86"/>
      <c r="J55" s="86"/>
      <c r="K55" s="86"/>
      <c r="L55" s="88">
        <v>2</v>
      </c>
      <c r="M55" s="88">
        <v>2</v>
      </c>
      <c r="N55" s="386">
        <f>SUM(H55:M58)</f>
        <v>4</v>
      </c>
      <c r="O55" s="386">
        <v>4</v>
      </c>
      <c r="P55" s="89" t="s">
        <v>376</v>
      </c>
    </row>
    <row r="56" spans="1:16">
      <c r="A56" s="411"/>
      <c r="B56" s="397"/>
      <c r="C56" s="384"/>
      <c r="D56" s="81" t="s">
        <v>37</v>
      </c>
      <c r="E56" s="81" t="s">
        <v>122</v>
      </c>
      <c r="F56" s="81">
        <v>5</v>
      </c>
      <c r="G56" s="81">
        <v>4</v>
      </c>
      <c r="H56" s="81"/>
      <c r="I56" s="81"/>
      <c r="J56" s="81"/>
      <c r="K56" s="81"/>
      <c r="L56" s="90"/>
      <c r="M56" s="90"/>
      <c r="N56" s="387"/>
      <c r="O56" s="387"/>
      <c r="P56" s="80" t="s">
        <v>376</v>
      </c>
    </row>
    <row r="57" spans="1:16">
      <c r="A57" s="411"/>
      <c r="B57" s="397"/>
      <c r="C57" s="388" t="s">
        <v>128</v>
      </c>
      <c r="D57" s="81" t="s">
        <v>37</v>
      </c>
      <c r="E57" s="81" t="s">
        <v>537</v>
      </c>
      <c r="F57" s="81">
        <v>5</v>
      </c>
      <c r="G57" s="81">
        <v>4</v>
      </c>
      <c r="H57" s="81"/>
      <c r="I57" s="81"/>
      <c r="J57" s="81"/>
      <c r="K57" s="81"/>
      <c r="L57" s="90"/>
      <c r="M57" s="90"/>
      <c r="N57" s="387"/>
      <c r="O57" s="387"/>
      <c r="P57" s="80" t="s">
        <v>376</v>
      </c>
    </row>
    <row r="58" spans="1:16" ht="15" thickBot="1">
      <c r="A58" s="411"/>
      <c r="B58" s="396"/>
      <c r="C58" s="394"/>
      <c r="D58" s="91" t="s">
        <v>37</v>
      </c>
      <c r="E58" s="91" t="s">
        <v>538</v>
      </c>
      <c r="F58" s="91">
        <v>5</v>
      </c>
      <c r="G58" s="91">
        <v>4</v>
      </c>
      <c r="H58" s="91"/>
      <c r="I58" s="91"/>
      <c r="J58" s="91"/>
      <c r="K58" s="91"/>
      <c r="L58" s="92"/>
      <c r="M58" s="92"/>
      <c r="N58" s="394"/>
      <c r="O58" s="394"/>
      <c r="P58" s="93" t="s">
        <v>376</v>
      </c>
    </row>
    <row r="59" spans="1:16" ht="16.5" customHeight="1">
      <c r="A59" s="411"/>
      <c r="B59" s="395" t="s">
        <v>539</v>
      </c>
      <c r="C59" s="386" t="s">
        <v>212</v>
      </c>
      <c r="D59" s="86" t="s">
        <v>19</v>
      </c>
      <c r="E59" s="86" t="s">
        <v>223</v>
      </c>
      <c r="F59" s="86">
        <v>5</v>
      </c>
      <c r="G59" s="86">
        <v>4</v>
      </c>
      <c r="H59" s="86"/>
      <c r="I59" s="86"/>
      <c r="J59" s="86"/>
      <c r="K59" s="86"/>
      <c r="L59" s="88">
        <v>2</v>
      </c>
      <c r="M59" s="88">
        <v>2</v>
      </c>
      <c r="N59" s="386">
        <v>4</v>
      </c>
      <c r="O59" s="386">
        <v>4</v>
      </c>
      <c r="P59" s="89" t="s">
        <v>214</v>
      </c>
    </row>
    <row r="60" spans="1:16" ht="16.5" customHeight="1">
      <c r="A60" s="411"/>
      <c r="B60" s="397"/>
      <c r="C60" s="387"/>
      <c r="D60" s="81" t="s">
        <v>19</v>
      </c>
      <c r="E60" s="81" t="s">
        <v>221</v>
      </c>
      <c r="F60" s="81">
        <v>5</v>
      </c>
      <c r="G60" s="81">
        <v>4</v>
      </c>
      <c r="H60" s="81"/>
      <c r="I60" s="81"/>
      <c r="J60" s="81"/>
      <c r="K60" s="81"/>
      <c r="L60" s="90"/>
      <c r="M60" s="90"/>
      <c r="N60" s="387"/>
      <c r="O60" s="387"/>
      <c r="P60" s="80" t="s">
        <v>50</v>
      </c>
    </row>
    <row r="61" spans="1:16" ht="16.5" customHeight="1">
      <c r="A61" s="411"/>
      <c r="B61" s="397"/>
      <c r="C61" s="387"/>
      <c r="D61" s="81" t="s">
        <v>19</v>
      </c>
      <c r="E61" s="81" t="s">
        <v>540</v>
      </c>
      <c r="F61" s="81">
        <v>5</v>
      </c>
      <c r="G61" s="81">
        <v>4</v>
      </c>
      <c r="H61" s="81"/>
      <c r="I61" s="81"/>
      <c r="J61" s="81"/>
      <c r="K61" s="81"/>
      <c r="L61" s="90"/>
      <c r="M61" s="90"/>
      <c r="N61" s="387"/>
      <c r="O61" s="387"/>
      <c r="P61" s="80" t="s">
        <v>50</v>
      </c>
    </row>
    <row r="62" spans="1:16" ht="16.5" customHeight="1">
      <c r="A62" s="411"/>
      <c r="B62" s="397"/>
      <c r="C62" s="387"/>
      <c r="D62" s="81" t="s">
        <v>19</v>
      </c>
      <c r="E62" s="81" t="s">
        <v>541</v>
      </c>
      <c r="F62" s="81">
        <v>5</v>
      </c>
      <c r="G62" s="81">
        <v>4</v>
      </c>
      <c r="H62" s="81"/>
      <c r="I62" s="81"/>
      <c r="J62" s="81"/>
      <c r="K62" s="81"/>
      <c r="L62" s="90"/>
      <c r="M62" s="90"/>
      <c r="N62" s="387"/>
      <c r="O62" s="387"/>
      <c r="P62" s="80" t="s">
        <v>50</v>
      </c>
    </row>
    <row r="63" spans="1:16" ht="16.5" customHeight="1">
      <c r="A63" s="411"/>
      <c r="B63" s="397"/>
      <c r="C63" s="384"/>
      <c r="D63" s="81" t="s">
        <v>19</v>
      </c>
      <c r="E63" s="81" t="s">
        <v>542</v>
      </c>
      <c r="F63" s="81">
        <v>5</v>
      </c>
      <c r="G63" s="81">
        <v>4</v>
      </c>
      <c r="H63" s="81"/>
      <c r="I63" s="81"/>
      <c r="J63" s="81"/>
      <c r="K63" s="81"/>
      <c r="L63" s="90"/>
      <c r="M63" s="90"/>
      <c r="N63" s="387"/>
      <c r="O63" s="387"/>
      <c r="P63" s="80" t="s">
        <v>50</v>
      </c>
    </row>
    <row r="64" spans="1:16" ht="16.5" customHeight="1">
      <c r="A64" s="411"/>
      <c r="B64" s="397"/>
      <c r="C64" s="388" t="s">
        <v>522</v>
      </c>
      <c r="D64" s="81" t="s">
        <v>37</v>
      </c>
      <c r="E64" s="81" t="s">
        <v>543</v>
      </c>
      <c r="F64" s="81">
        <v>5</v>
      </c>
      <c r="G64" s="81">
        <v>4</v>
      </c>
      <c r="H64" s="81"/>
      <c r="I64" s="81"/>
      <c r="J64" s="81"/>
      <c r="K64" s="81"/>
      <c r="L64" s="90"/>
      <c r="M64" s="90"/>
      <c r="N64" s="387"/>
      <c r="O64" s="387"/>
      <c r="P64" s="80" t="s">
        <v>376</v>
      </c>
    </row>
    <row r="65" spans="1:16" ht="16.5" customHeight="1" thickBot="1">
      <c r="A65" s="411"/>
      <c r="B65" s="396"/>
      <c r="C65" s="394"/>
      <c r="D65" s="91" t="s">
        <v>37</v>
      </c>
      <c r="E65" s="91" t="s">
        <v>544</v>
      </c>
      <c r="F65" s="91">
        <v>5</v>
      </c>
      <c r="G65" s="91">
        <v>4</v>
      </c>
      <c r="H65" s="91"/>
      <c r="I65" s="91"/>
      <c r="J65" s="91"/>
      <c r="K65" s="91"/>
      <c r="L65" s="92"/>
      <c r="M65" s="92"/>
      <c r="N65" s="394"/>
      <c r="O65" s="394"/>
      <c r="P65" s="93" t="s">
        <v>376</v>
      </c>
    </row>
    <row r="66" spans="1:16" ht="16.5" customHeight="1">
      <c r="A66" s="411"/>
      <c r="B66" s="395" t="s">
        <v>545</v>
      </c>
      <c r="C66" s="86" t="s">
        <v>62</v>
      </c>
      <c r="D66" s="86" t="s">
        <v>37</v>
      </c>
      <c r="E66" s="86" t="s">
        <v>546</v>
      </c>
      <c r="F66" s="86"/>
      <c r="G66" s="86"/>
      <c r="H66" s="86"/>
      <c r="I66" s="86"/>
      <c r="J66" s="86"/>
      <c r="K66" s="86"/>
      <c r="L66" s="88">
        <v>2</v>
      </c>
      <c r="M66" s="88">
        <v>2</v>
      </c>
      <c r="N66" s="386">
        <v>4</v>
      </c>
      <c r="O66" s="386">
        <v>4</v>
      </c>
      <c r="P66" s="89" t="s">
        <v>376</v>
      </c>
    </row>
    <row r="67" spans="1:16" ht="16.5" customHeight="1">
      <c r="A67" s="411"/>
      <c r="B67" s="397"/>
      <c r="C67" s="81" t="s">
        <v>76</v>
      </c>
      <c r="D67" s="81" t="s">
        <v>37</v>
      </c>
      <c r="E67" s="81" t="s">
        <v>547</v>
      </c>
      <c r="F67" s="81"/>
      <c r="G67" s="81"/>
      <c r="H67" s="81"/>
      <c r="I67" s="81"/>
      <c r="J67" s="81"/>
      <c r="K67" s="81"/>
      <c r="L67" s="90"/>
      <c r="M67" s="90"/>
      <c r="N67" s="387"/>
      <c r="O67" s="387"/>
      <c r="P67" s="80" t="s">
        <v>376</v>
      </c>
    </row>
    <row r="68" spans="1:16" ht="16.5" customHeight="1">
      <c r="A68" s="411"/>
      <c r="B68" s="397"/>
      <c r="C68" s="81" t="s">
        <v>92</v>
      </c>
      <c r="D68" s="81" t="s">
        <v>37</v>
      </c>
      <c r="E68" s="81" t="s">
        <v>548</v>
      </c>
      <c r="F68" s="81"/>
      <c r="G68" s="81"/>
      <c r="H68" s="81"/>
      <c r="I68" s="81"/>
      <c r="J68" s="81"/>
      <c r="K68" s="81"/>
      <c r="L68" s="90"/>
      <c r="M68" s="90"/>
      <c r="N68" s="387"/>
      <c r="O68" s="387"/>
      <c r="P68" s="80" t="s">
        <v>376</v>
      </c>
    </row>
    <row r="69" spans="1:16">
      <c r="A69" s="411"/>
      <c r="B69" s="397"/>
      <c r="C69" s="81" t="s">
        <v>378</v>
      </c>
      <c r="D69" s="81" t="s">
        <v>37</v>
      </c>
      <c r="E69" s="81" t="s">
        <v>549</v>
      </c>
      <c r="F69" s="81"/>
      <c r="G69" s="81"/>
      <c r="H69" s="81"/>
      <c r="I69" s="81"/>
      <c r="J69" s="81"/>
      <c r="K69" s="81"/>
      <c r="L69" s="90"/>
      <c r="M69" s="90"/>
      <c r="N69" s="387"/>
      <c r="O69" s="387"/>
      <c r="P69" s="80" t="s">
        <v>376</v>
      </c>
    </row>
    <row r="70" spans="1:16" ht="17.399999999999999">
      <c r="A70" s="411"/>
      <c r="B70" s="397"/>
      <c r="C70" s="388" t="s">
        <v>375</v>
      </c>
      <c r="D70" s="81" t="s">
        <v>37</v>
      </c>
      <c r="E70" s="106" t="s">
        <v>562</v>
      </c>
      <c r="F70" s="81"/>
      <c r="G70" s="81"/>
      <c r="H70" s="81"/>
      <c r="I70" s="81"/>
      <c r="J70" s="81"/>
      <c r="K70" s="81"/>
      <c r="L70" s="90"/>
      <c r="M70" s="90"/>
      <c r="N70" s="387"/>
      <c r="O70" s="387"/>
      <c r="P70" s="80" t="s">
        <v>376</v>
      </c>
    </row>
    <row r="71" spans="1:16" ht="18" thickBot="1">
      <c r="A71" s="411"/>
      <c r="B71" s="396"/>
      <c r="C71" s="394"/>
      <c r="D71" s="91" t="s">
        <v>37</v>
      </c>
      <c r="E71" s="107" t="s">
        <v>563</v>
      </c>
      <c r="F71" s="91"/>
      <c r="G71" s="91"/>
      <c r="H71" s="91"/>
      <c r="I71" s="91"/>
      <c r="J71" s="91"/>
      <c r="K71" s="91"/>
      <c r="L71" s="92"/>
      <c r="M71" s="92"/>
      <c r="N71" s="394"/>
      <c r="O71" s="394"/>
      <c r="P71" s="93" t="s">
        <v>376</v>
      </c>
    </row>
    <row r="72" spans="1:16" ht="15" thickBot="1">
      <c r="A72" s="405" t="s">
        <v>413</v>
      </c>
      <c r="B72" s="406"/>
      <c r="C72" s="406"/>
      <c r="D72" s="406"/>
      <c r="E72" s="407"/>
      <c r="F72" s="83"/>
      <c r="G72" s="83"/>
      <c r="H72" s="84">
        <f t="shared" ref="H72:M72" si="3">SUM(H27:H71)</f>
        <v>0</v>
      </c>
      <c r="I72" s="84">
        <f t="shared" si="3"/>
        <v>0</v>
      </c>
      <c r="J72" s="84">
        <f t="shared" si="3"/>
        <v>10</v>
      </c>
      <c r="K72" s="84">
        <f t="shared" si="3"/>
        <v>10</v>
      </c>
      <c r="L72" s="84">
        <f t="shared" si="3"/>
        <v>27</v>
      </c>
      <c r="M72" s="84">
        <f t="shared" si="3"/>
        <v>27</v>
      </c>
      <c r="N72" s="83"/>
      <c r="O72" s="84">
        <f>SUM(O27:O71)</f>
        <v>74</v>
      </c>
      <c r="P72" s="85"/>
    </row>
    <row r="73" spans="1:16">
      <c r="A73" s="408" t="s">
        <v>414</v>
      </c>
      <c r="B73" s="409"/>
      <c r="C73" s="409"/>
      <c r="D73" s="409"/>
      <c r="E73" s="410"/>
      <c r="F73" s="100"/>
      <c r="G73" s="100"/>
      <c r="H73" s="101">
        <f t="shared" ref="H73:M73" si="4">SUM(H26,H72)</f>
        <v>29</v>
      </c>
      <c r="I73" s="101">
        <f t="shared" si="4"/>
        <v>29</v>
      </c>
      <c r="J73" s="101">
        <f t="shared" si="4"/>
        <v>29</v>
      </c>
      <c r="K73" s="101">
        <f t="shared" si="4"/>
        <v>29</v>
      </c>
      <c r="L73" s="101">
        <f t="shared" si="4"/>
        <v>29</v>
      </c>
      <c r="M73" s="101">
        <f t="shared" si="4"/>
        <v>29</v>
      </c>
      <c r="N73" s="100"/>
      <c r="O73" s="101">
        <f>SUM(H73:M73)</f>
        <v>174</v>
      </c>
      <c r="P73" s="102"/>
    </row>
    <row r="74" spans="1:16" ht="16.5" customHeight="1" thickBot="1">
      <c r="A74" s="398" t="s">
        <v>398</v>
      </c>
      <c r="B74" s="399"/>
      <c r="C74" s="399"/>
      <c r="D74" s="399"/>
      <c r="E74" s="400"/>
      <c r="F74" s="103"/>
      <c r="G74" s="103"/>
      <c r="H74" s="104">
        <v>3</v>
      </c>
      <c r="I74" s="104">
        <v>3</v>
      </c>
      <c r="J74" s="104">
        <v>3</v>
      </c>
      <c r="K74" s="104">
        <v>3</v>
      </c>
      <c r="L74" s="104">
        <v>3</v>
      </c>
      <c r="M74" s="104">
        <v>3</v>
      </c>
      <c r="N74" s="103"/>
      <c r="O74" s="104">
        <f>SUM(H74:M74)</f>
        <v>18</v>
      </c>
      <c r="P74" s="105"/>
    </row>
    <row r="75" spans="1:16" ht="15" thickBot="1">
      <c r="A75" s="401" t="s">
        <v>415</v>
      </c>
      <c r="B75" s="402"/>
      <c r="C75" s="402"/>
      <c r="D75" s="402"/>
      <c r="E75" s="402"/>
      <c r="F75" s="103"/>
      <c r="G75" s="103"/>
      <c r="H75" s="104">
        <v>32</v>
      </c>
      <c r="I75" s="104">
        <v>32</v>
      </c>
      <c r="J75" s="104">
        <v>32</v>
      </c>
      <c r="K75" s="104">
        <v>32</v>
      </c>
      <c r="L75" s="104">
        <v>32</v>
      </c>
      <c r="M75" s="104">
        <v>32</v>
      </c>
      <c r="N75" s="403">
        <f>SUM(O73:O74)</f>
        <v>192</v>
      </c>
      <c r="O75" s="404"/>
      <c r="P75" s="105"/>
    </row>
  </sheetData>
  <mergeCells count="78">
    <mergeCell ref="A74:E74"/>
    <mergeCell ref="A75:E75"/>
    <mergeCell ref="N75:O75"/>
    <mergeCell ref="B66:B71"/>
    <mergeCell ref="N66:N71"/>
    <mergeCell ref="O66:O71"/>
    <mergeCell ref="C70:C71"/>
    <mergeCell ref="A72:E72"/>
    <mergeCell ref="A73:E73"/>
    <mergeCell ref="A27:A71"/>
    <mergeCell ref="B55:B58"/>
    <mergeCell ref="C55:C56"/>
    <mergeCell ref="N55:N58"/>
    <mergeCell ref="O55:O58"/>
    <mergeCell ref="C57:C58"/>
    <mergeCell ref="B59:B65"/>
    <mergeCell ref="C59:C63"/>
    <mergeCell ref="N59:N65"/>
    <mergeCell ref="O59:O65"/>
    <mergeCell ref="C64:C65"/>
    <mergeCell ref="C43:C45"/>
    <mergeCell ref="B46:B54"/>
    <mergeCell ref="C46:C50"/>
    <mergeCell ref="N46:N54"/>
    <mergeCell ref="O46:O54"/>
    <mergeCell ref="C51:C54"/>
    <mergeCell ref="B37:B45"/>
    <mergeCell ref="C37:C39"/>
    <mergeCell ref="N37:N45"/>
    <mergeCell ref="O37:O45"/>
    <mergeCell ref="C40:C42"/>
    <mergeCell ref="O35:O36"/>
    <mergeCell ref="B27:B34"/>
    <mergeCell ref="C27:C30"/>
    <mergeCell ref="N27:N34"/>
    <mergeCell ref="O27:O34"/>
    <mergeCell ref="A26:E26"/>
    <mergeCell ref="C31:C34"/>
    <mergeCell ref="B35:B36"/>
    <mergeCell ref="C35:C36"/>
    <mergeCell ref="N35:N36"/>
    <mergeCell ref="O19:O23"/>
    <mergeCell ref="C21:C23"/>
    <mergeCell ref="N21:N23"/>
    <mergeCell ref="B24:B25"/>
    <mergeCell ref="C24:C25"/>
    <mergeCell ref="N24:N25"/>
    <mergeCell ref="O24:O25"/>
    <mergeCell ref="A5:A25"/>
    <mergeCell ref="B5:B15"/>
    <mergeCell ref="C5:C7"/>
    <mergeCell ref="N5:N7"/>
    <mergeCell ref="O5:O15"/>
    <mergeCell ref="C8:C11"/>
    <mergeCell ref="N8:N11"/>
    <mergeCell ref="C12:C14"/>
    <mergeCell ref="N12:N14"/>
    <mergeCell ref="B16:B18"/>
    <mergeCell ref="O16:O18"/>
    <mergeCell ref="C17:C18"/>
    <mergeCell ref="N17:N18"/>
    <mergeCell ref="B19:B23"/>
    <mergeCell ref="C19:C20"/>
    <mergeCell ref="N19:N20"/>
    <mergeCell ref="A1:P1"/>
    <mergeCell ref="A2:P2"/>
    <mergeCell ref="A3:A4"/>
    <mergeCell ref="B3:B4"/>
    <mergeCell ref="C3:C4"/>
    <mergeCell ref="D3:D4"/>
    <mergeCell ref="E3:E4"/>
    <mergeCell ref="F3:F4"/>
    <mergeCell ref="G3:G4"/>
    <mergeCell ref="H3:I3"/>
    <mergeCell ref="J3:K3"/>
    <mergeCell ref="L3:M3"/>
    <mergeCell ref="N3:O3"/>
    <mergeCell ref="P3:P4"/>
  </mergeCells>
  <phoneticPr fontId="15" type="noConversion"/>
  <dataValidations count="2">
    <dataValidation type="list" allowBlank="1" showInputMessage="1" showErrorMessage="1" sqref="P5:P25 P27:P71" xr:uid="{BB6628FE-08EC-411B-B9D9-E9ADD6A62723}">
      <formula1>"성취도 5단계+석차등급O, 성취도 5단계+석차등급X, 성취도 3단계+성취도별 분포비율, 성취도 3단계, 이수/미이수"</formula1>
    </dataValidation>
    <dataValidation type="list" allowBlank="1" showInputMessage="1" showErrorMessage="1" sqref="D5:D25 D27:D71" xr:uid="{8D664980-5BBD-43B7-A8FB-00CC19CCE2A6}">
      <formula1>"공통, 일반, 진로, 전문"</formula1>
    </dataValidation>
  </dataValidations>
  <pageMargins left="0.7" right="0.7" top="0.75" bottom="0.75" header="0.3" footer="0.3"/>
  <pageSetup paperSize="8" scale="77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H292"/>
  <sheetViews>
    <sheetView zoomScaleNormal="100" workbookViewId="0">
      <pane xSplit="1" ySplit="2" topLeftCell="B263" activePane="bottomRight" state="frozen"/>
      <selection pane="topRight" activeCell="B1" sqref="B1"/>
      <selection pane="bottomLeft" activeCell="A5" sqref="A5"/>
      <selection pane="bottomRight" activeCell="D234" sqref="D234:H292"/>
    </sheetView>
  </sheetViews>
  <sheetFormatPr defaultColWidth="10.33203125" defaultRowHeight="14.4"/>
  <cols>
    <col min="1" max="1" width="0.88671875" style="16" customWidth="1"/>
    <col min="2" max="2" width="26.88671875" style="18" bestFit="1" customWidth="1"/>
    <col min="4" max="4" width="11.44140625" style="18" customWidth="1"/>
    <col min="5" max="5" width="28.44140625" style="16" customWidth="1"/>
    <col min="6" max="6" width="15.5546875" style="16" customWidth="1"/>
    <col min="7" max="7" width="17.33203125" style="16" customWidth="1"/>
    <col min="8" max="8" width="14.6640625" style="16" customWidth="1"/>
    <col min="9" max="16384" width="10.33203125" style="16"/>
  </cols>
  <sheetData>
    <row r="1" spans="2:8" ht="20.25" customHeight="1">
      <c r="B1" s="17">
        <f>SUBTOTAL(3,B3:B298)</f>
        <v>290</v>
      </c>
      <c r="C1" s="16"/>
    </row>
    <row r="2" spans="2:8" ht="15.6">
      <c r="B2" s="19" t="s">
        <v>60</v>
      </c>
      <c r="C2" s="19" t="s">
        <v>306</v>
      </c>
      <c r="D2" s="19" t="s">
        <v>307</v>
      </c>
      <c r="E2" s="20" t="s">
        <v>61</v>
      </c>
      <c r="F2" s="20" t="s">
        <v>309</v>
      </c>
      <c r="G2" s="20" t="s">
        <v>310</v>
      </c>
      <c r="H2" s="20" t="s">
        <v>311</v>
      </c>
    </row>
    <row r="3" spans="2:8" ht="13.8">
      <c r="B3" s="22" t="s">
        <v>63</v>
      </c>
      <c r="C3" s="21" t="s">
        <v>15</v>
      </c>
      <c r="D3" s="50">
        <v>4</v>
      </c>
      <c r="E3" s="24" t="s">
        <v>303</v>
      </c>
      <c r="F3" s="21">
        <v>3</v>
      </c>
      <c r="G3" s="21">
        <v>4</v>
      </c>
      <c r="H3" s="21" t="s">
        <v>64</v>
      </c>
    </row>
    <row r="4" spans="2:8" ht="13.8">
      <c r="B4" s="22" t="s">
        <v>65</v>
      </c>
      <c r="C4" s="21" t="s">
        <v>15</v>
      </c>
      <c r="D4" s="50">
        <v>4</v>
      </c>
      <c r="E4" s="24" t="s">
        <v>303</v>
      </c>
      <c r="F4" s="21">
        <v>3</v>
      </c>
      <c r="G4" s="21">
        <v>4</v>
      </c>
      <c r="H4" s="21" t="s">
        <v>64</v>
      </c>
    </row>
    <row r="5" spans="2:8" ht="13.8">
      <c r="B5" s="22" t="s">
        <v>66</v>
      </c>
      <c r="C5" s="21" t="s">
        <v>19</v>
      </c>
      <c r="D5" s="50">
        <v>4</v>
      </c>
      <c r="E5" s="24" t="s">
        <v>303</v>
      </c>
      <c r="F5" s="21">
        <v>3</v>
      </c>
      <c r="G5" s="21">
        <v>5</v>
      </c>
      <c r="H5" s="21" t="s">
        <v>67</v>
      </c>
    </row>
    <row r="6" spans="2:8" ht="13.8">
      <c r="B6" s="22" t="s">
        <v>68</v>
      </c>
      <c r="C6" s="21" t="s">
        <v>19</v>
      </c>
      <c r="D6" s="50">
        <v>4</v>
      </c>
      <c r="E6" s="24" t="s">
        <v>303</v>
      </c>
      <c r="F6" s="21">
        <v>3</v>
      </c>
      <c r="G6" s="21">
        <v>5</v>
      </c>
      <c r="H6" s="21" t="s">
        <v>67</v>
      </c>
    </row>
    <row r="7" spans="2:8" ht="13.8">
      <c r="B7" s="22" t="s">
        <v>69</v>
      </c>
      <c r="C7" s="21" t="s">
        <v>19</v>
      </c>
      <c r="D7" s="50">
        <v>4</v>
      </c>
      <c r="E7" s="24" t="s">
        <v>303</v>
      </c>
      <c r="F7" s="21">
        <v>3</v>
      </c>
      <c r="G7" s="21">
        <v>5</v>
      </c>
      <c r="H7" s="21" t="s">
        <v>67</v>
      </c>
    </row>
    <row r="8" spans="2:8" ht="13.8">
      <c r="B8" s="22" t="s">
        <v>70</v>
      </c>
      <c r="C8" s="21" t="s">
        <v>37</v>
      </c>
      <c r="D8" s="50">
        <v>4</v>
      </c>
      <c r="E8" s="24" t="s">
        <v>303</v>
      </c>
      <c r="F8" s="21">
        <v>3</v>
      </c>
      <c r="G8" s="21">
        <v>5</v>
      </c>
      <c r="H8" s="21" t="s">
        <v>67</v>
      </c>
    </row>
    <row r="9" spans="2:8" ht="13.8">
      <c r="B9" s="22" t="s">
        <v>71</v>
      </c>
      <c r="C9" s="21" t="s">
        <v>37</v>
      </c>
      <c r="D9" s="50">
        <v>4</v>
      </c>
      <c r="E9" s="24" t="s">
        <v>303</v>
      </c>
      <c r="F9" s="21">
        <v>3</v>
      </c>
      <c r="G9" s="21">
        <v>5</v>
      </c>
      <c r="H9" s="21" t="s">
        <v>67</v>
      </c>
    </row>
    <row r="10" spans="2:8" ht="13.8">
      <c r="B10" s="24" t="s">
        <v>72</v>
      </c>
      <c r="C10" s="21" t="s">
        <v>37</v>
      </c>
      <c r="D10" s="50">
        <v>4</v>
      </c>
      <c r="E10" s="24" t="s">
        <v>303</v>
      </c>
      <c r="F10" s="21">
        <v>3</v>
      </c>
      <c r="G10" s="21">
        <v>5</v>
      </c>
      <c r="H10" s="21" t="s">
        <v>67</v>
      </c>
    </row>
    <row r="11" spans="2:8" ht="13.8">
      <c r="B11" s="24" t="s">
        <v>73</v>
      </c>
      <c r="C11" s="21" t="s">
        <v>38</v>
      </c>
      <c r="D11" s="50">
        <v>4</v>
      </c>
      <c r="E11" s="24" t="s">
        <v>303</v>
      </c>
      <c r="F11" s="21">
        <v>3</v>
      </c>
      <c r="G11" s="21">
        <v>5</v>
      </c>
      <c r="H11" s="21" t="s">
        <v>67</v>
      </c>
    </row>
    <row r="12" spans="2:8" ht="13.8">
      <c r="B12" s="24" t="s">
        <v>74</v>
      </c>
      <c r="C12" s="21" t="s">
        <v>38</v>
      </c>
      <c r="D12" s="50">
        <v>4</v>
      </c>
      <c r="E12" s="24" t="s">
        <v>303</v>
      </c>
      <c r="F12" s="21">
        <v>3</v>
      </c>
      <c r="G12" s="21">
        <v>5</v>
      </c>
      <c r="H12" s="21" t="s">
        <v>67</v>
      </c>
    </row>
    <row r="13" spans="2:8" ht="13.8">
      <c r="B13" s="24" t="s">
        <v>75</v>
      </c>
      <c r="C13" s="21" t="s">
        <v>38</v>
      </c>
      <c r="D13" s="50">
        <v>4</v>
      </c>
      <c r="E13" s="24" t="s">
        <v>303</v>
      </c>
      <c r="F13" s="21">
        <v>3</v>
      </c>
      <c r="G13" s="21">
        <v>5</v>
      </c>
      <c r="H13" s="21" t="s">
        <v>67</v>
      </c>
    </row>
    <row r="14" spans="2:8" ht="13.8">
      <c r="B14" s="24" t="s">
        <v>77</v>
      </c>
      <c r="C14" s="21" t="s">
        <v>15</v>
      </c>
      <c r="D14" s="50">
        <v>4</v>
      </c>
      <c r="E14" s="24" t="s">
        <v>303</v>
      </c>
      <c r="F14" s="21">
        <v>3</v>
      </c>
      <c r="G14" s="21">
        <v>4</v>
      </c>
      <c r="H14" s="21" t="s">
        <v>64</v>
      </c>
    </row>
    <row r="15" spans="2:8" ht="13.8">
      <c r="B15" s="24" t="s">
        <v>78</v>
      </c>
      <c r="C15" s="21" t="s">
        <v>15</v>
      </c>
      <c r="D15" s="50">
        <v>4</v>
      </c>
      <c r="E15" s="24" t="s">
        <v>303</v>
      </c>
      <c r="F15" s="21">
        <v>3</v>
      </c>
      <c r="G15" s="21">
        <v>4</v>
      </c>
      <c r="H15" s="21" t="s">
        <v>64</v>
      </c>
    </row>
    <row r="16" spans="2:8" ht="13.8">
      <c r="B16" s="24" t="s">
        <v>79</v>
      </c>
      <c r="C16" s="21" t="s">
        <v>15</v>
      </c>
      <c r="D16" s="50">
        <v>4</v>
      </c>
      <c r="E16" s="24" t="s">
        <v>303</v>
      </c>
      <c r="F16" s="21">
        <v>3</v>
      </c>
      <c r="G16" s="21">
        <v>4</v>
      </c>
      <c r="H16" s="21" t="s">
        <v>64</v>
      </c>
    </row>
    <row r="17" spans="2:8" ht="13.8">
      <c r="B17" s="24" t="s">
        <v>80</v>
      </c>
      <c r="C17" s="21" t="s">
        <v>15</v>
      </c>
      <c r="D17" s="50">
        <v>4</v>
      </c>
      <c r="E17" s="24" t="s">
        <v>303</v>
      </c>
      <c r="F17" s="21">
        <v>3</v>
      </c>
      <c r="G17" s="21">
        <v>4</v>
      </c>
      <c r="H17" s="21" t="s">
        <v>64</v>
      </c>
    </row>
    <row r="18" spans="2:8" ht="13.8">
      <c r="B18" s="24" t="s">
        <v>81</v>
      </c>
      <c r="C18" s="21" t="s">
        <v>19</v>
      </c>
      <c r="D18" s="50">
        <v>4</v>
      </c>
      <c r="E18" s="24" t="s">
        <v>303</v>
      </c>
      <c r="F18" s="21">
        <v>3</v>
      </c>
      <c r="G18" s="21">
        <v>5</v>
      </c>
      <c r="H18" s="21" t="s">
        <v>67</v>
      </c>
    </row>
    <row r="19" spans="2:8" ht="13.8">
      <c r="B19" s="24" t="s">
        <v>82</v>
      </c>
      <c r="C19" s="21" t="s">
        <v>19</v>
      </c>
      <c r="D19" s="50">
        <v>4</v>
      </c>
      <c r="E19" s="24" t="s">
        <v>303</v>
      </c>
      <c r="F19" s="21">
        <v>3</v>
      </c>
      <c r="G19" s="21">
        <v>5</v>
      </c>
      <c r="H19" s="21" t="s">
        <v>67</v>
      </c>
    </row>
    <row r="20" spans="2:8" ht="13.8">
      <c r="B20" s="24" t="s">
        <v>83</v>
      </c>
      <c r="C20" s="21" t="s">
        <v>19</v>
      </c>
      <c r="D20" s="50">
        <v>4</v>
      </c>
      <c r="E20" s="24" t="s">
        <v>303</v>
      </c>
      <c r="F20" s="21">
        <v>3</v>
      </c>
      <c r="G20" s="21">
        <v>5</v>
      </c>
      <c r="H20" s="21" t="s">
        <v>67</v>
      </c>
    </row>
    <row r="21" spans="2:8" ht="13.8">
      <c r="B21" s="24" t="s">
        <v>84</v>
      </c>
      <c r="C21" s="21" t="s">
        <v>37</v>
      </c>
      <c r="D21" s="50">
        <v>4</v>
      </c>
      <c r="E21" s="24" t="s">
        <v>303</v>
      </c>
      <c r="F21" s="21">
        <v>3</v>
      </c>
      <c r="G21" s="21">
        <v>5</v>
      </c>
      <c r="H21" s="21" t="s">
        <v>67</v>
      </c>
    </row>
    <row r="22" spans="2:8" ht="13.8">
      <c r="B22" s="24" t="s">
        <v>85</v>
      </c>
      <c r="C22" s="21" t="s">
        <v>37</v>
      </c>
      <c r="D22" s="50">
        <v>4</v>
      </c>
      <c r="E22" s="24" t="s">
        <v>303</v>
      </c>
      <c r="F22" s="21">
        <v>3</v>
      </c>
      <c r="G22" s="21">
        <v>5</v>
      </c>
      <c r="H22" s="21" t="s">
        <v>67</v>
      </c>
    </row>
    <row r="23" spans="2:8" ht="13.8">
      <c r="B23" s="24" t="s">
        <v>86</v>
      </c>
      <c r="C23" s="21" t="s">
        <v>37</v>
      </c>
      <c r="D23" s="50">
        <v>4</v>
      </c>
      <c r="E23" s="24" t="s">
        <v>303</v>
      </c>
      <c r="F23" s="21">
        <v>3</v>
      </c>
      <c r="G23" s="21">
        <v>5</v>
      </c>
      <c r="H23" s="21" t="s">
        <v>67</v>
      </c>
    </row>
    <row r="24" spans="2:8" ht="13.8">
      <c r="B24" s="24" t="s">
        <v>87</v>
      </c>
      <c r="C24" s="21" t="s">
        <v>37</v>
      </c>
      <c r="D24" s="50">
        <v>4</v>
      </c>
      <c r="E24" s="24" t="s">
        <v>303</v>
      </c>
      <c r="F24" s="21">
        <v>3</v>
      </c>
      <c r="G24" s="21">
        <v>5</v>
      </c>
      <c r="H24" s="21" t="s">
        <v>67</v>
      </c>
    </row>
    <row r="25" spans="2:8" ht="13.8">
      <c r="B25" s="24" t="s">
        <v>88</v>
      </c>
      <c r="C25" s="21" t="s">
        <v>37</v>
      </c>
      <c r="D25" s="50">
        <v>4</v>
      </c>
      <c r="E25" s="24" t="s">
        <v>303</v>
      </c>
      <c r="F25" s="21">
        <v>3</v>
      </c>
      <c r="G25" s="21">
        <v>5</v>
      </c>
      <c r="H25" s="21" t="s">
        <v>67</v>
      </c>
    </row>
    <row r="26" spans="2:8" ht="13.8">
      <c r="B26" s="24" t="s">
        <v>89</v>
      </c>
      <c r="C26" s="21" t="s">
        <v>38</v>
      </c>
      <c r="D26" s="50">
        <v>4</v>
      </c>
      <c r="E26" s="24" t="s">
        <v>303</v>
      </c>
      <c r="F26" s="21">
        <v>3</v>
      </c>
      <c r="G26" s="21">
        <v>5</v>
      </c>
      <c r="H26" s="21" t="s">
        <v>67</v>
      </c>
    </row>
    <row r="27" spans="2:8" ht="13.8">
      <c r="B27" s="24" t="s">
        <v>90</v>
      </c>
      <c r="C27" s="21" t="s">
        <v>38</v>
      </c>
      <c r="D27" s="50">
        <v>4</v>
      </c>
      <c r="E27" s="24" t="s">
        <v>303</v>
      </c>
      <c r="F27" s="21">
        <v>3</v>
      </c>
      <c r="G27" s="21">
        <v>5</v>
      </c>
      <c r="H27" s="21" t="s">
        <v>67</v>
      </c>
    </row>
    <row r="28" spans="2:8" ht="13.8">
      <c r="B28" s="24" t="s">
        <v>91</v>
      </c>
      <c r="C28" s="21" t="s">
        <v>38</v>
      </c>
      <c r="D28" s="50">
        <v>4</v>
      </c>
      <c r="E28" s="24" t="s">
        <v>303</v>
      </c>
      <c r="F28" s="21">
        <v>3</v>
      </c>
      <c r="G28" s="21">
        <v>5</v>
      </c>
      <c r="H28" s="21" t="s">
        <v>67</v>
      </c>
    </row>
    <row r="29" spans="2:8" ht="13.8">
      <c r="B29" s="24" t="s">
        <v>93</v>
      </c>
      <c r="C29" s="21" t="s">
        <v>15</v>
      </c>
      <c r="D29" s="50">
        <v>4</v>
      </c>
      <c r="E29" s="24" t="s">
        <v>303</v>
      </c>
      <c r="F29" s="21">
        <v>3</v>
      </c>
      <c r="G29" s="21">
        <v>4</v>
      </c>
      <c r="H29" s="21" t="s">
        <v>64</v>
      </c>
    </row>
    <row r="30" spans="2:8" ht="13.8">
      <c r="B30" s="24" t="s">
        <v>25</v>
      </c>
      <c r="C30" s="21" t="s">
        <v>15</v>
      </c>
      <c r="D30" s="50">
        <v>4</v>
      </c>
      <c r="E30" s="24" t="s">
        <v>303</v>
      </c>
      <c r="F30" s="21">
        <v>3</v>
      </c>
      <c r="G30" s="21">
        <v>4</v>
      </c>
      <c r="H30" s="21" t="s">
        <v>64</v>
      </c>
    </row>
    <row r="31" spans="2:8" ht="13.8">
      <c r="B31" s="24" t="s">
        <v>94</v>
      </c>
      <c r="C31" s="21" t="s">
        <v>15</v>
      </c>
      <c r="D31" s="50">
        <v>4</v>
      </c>
      <c r="E31" s="24" t="s">
        <v>303</v>
      </c>
      <c r="F31" s="21">
        <v>3</v>
      </c>
      <c r="G31" s="21">
        <v>4</v>
      </c>
      <c r="H31" s="21" t="s">
        <v>64</v>
      </c>
    </row>
    <row r="32" spans="2:8" ht="13.8">
      <c r="B32" s="24" t="s">
        <v>95</v>
      </c>
      <c r="C32" s="21" t="s">
        <v>15</v>
      </c>
      <c r="D32" s="50">
        <v>4</v>
      </c>
      <c r="E32" s="24" t="s">
        <v>303</v>
      </c>
      <c r="F32" s="21">
        <v>3</v>
      </c>
      <c r="G32" s="21">
        <v>4</v>
      </c>
      <c r="H32" s="21" t="s">
        <v>64</v>
      </c>
    </row>
    <row r="33" spans="2:8" ht="13.8">
      <c r="B33" s="24" t="s">
        <v>96</v>
      </c>
      <c r="C33" s="21" t="s">
        <v>19</v>
      </c>
      <c r="D33" s="50">
        <v>4</v>
      </c>
      <c r="E33" s="24" t="s">
        <v>303</v>
      </c>
      <c r="F33" s="21">
        <v>3</v>
      </c>
      <c r="G33" s="21">
        <v>5</v>
      </c>
      <c r="H33" s="21" t="s">
        <v>67</v>
      </c>
    </row>
    <row r="34" spans="2:8" ht="13.8">
      <c r="B34" s="24" t="s">
        <v>97</v>
      </c>
      <c r="C34" s="21" t="s">
        <v>19</v>
      </c>
      <c r="D34" s="50">
        <v>4</v>
      </c>
      <c r="E34" s="24" t="s">
        <v>303</v>
      </c>
      <c r="F34" s="21">
        <v>3</v>
      </c>
      <c r="G34" s="21">
        <v>5</v>
      </c>
      <c r="H34" s="21" t="s">
        <v>67</v>
      </c>
    </row>
    <row r="35" spans="2:8" ht="13.8">
      <c r="B35" s="24" t="s">
        <v>98</v>
      </c>
      <c r="C35" s="21" t="s">
        <v>19</v>
      </c>
      <c r="D35" s="50">
        <v>4</v>
      </c>
      <c r="E35" s="24" t="s">
        <v>303</v>
      </c>
      <c r="F35" s="21">
        <v>3</v>
      </c>
      <c r="G35" s="21">
        <v>5</v>
      </c>
      <c r="H35" s="21" t="s">
        <v>67</v>
      </c>
    </row>
    <row r="36" spans="2:8" ht="13.8">
      <c r="B36" s="24" t="s">
        <v>99</v>
      </c>
      <c r="C36" s="21" t="s">
        <v>37</v>
      </c>
      <c r="D36" s="50">
        <v>4</v>
      </c>
      <c r="E36" s="24" t="s">
        <v>303</v>
      </c>
      <c r="F36" s="21">
        <v>3</v>
      </c>
      <c r="G36" s="21">
        <v>5</v>
      </c>
      <c r="H36" s="21" t="s">
        <v>67</v>
      </c>
    </row>
    <row r="37" spans="2:8" ht="13.8">
      <c r="B37" s="24" t="s">
        <v>100</v>
      </c>
      <c r="C37" s="21" t="s">
        <v>37</v>
      </c>
      <c r="D37" s="50">
        <v>4</v>
      </c>
      <c r="E37" s="24" t="s">
        <v>303</v>
      </c>
      <c r="F37" s="21">
        <v>3</v>
      </c>
      <c r="G37" s="21">
        <v>5</v>
      </c>
      <c r="H37" s="21" t="s">
        <v>67</v>
      </c>
    </row>
    <row r="38" spans="2:8" ht="13.8">
      <c r="B38" s="24" t="s">
        <v>101</v>
      </c>
      <c r="C38" s="21" t="s">
        <v>37</v>
      </c>
      <c r="D38" s="50">
        <v>4</v>
      </c>
      <c r="E38" s="24" t="s">
        <v>303</v>
      </c>
      <c r="F38" s="21">
        <v>3</v>
      </c>
      <c r="G38" s="21">
        <v>5</v>
      </c>
      <c r="H38" s="21" t="s">
        <v>67</v>
      </c>
    </row>
    <row r="39" spans="2:8" ht="13.8">
      <c r="B39" s="24" t="s">
        <v>102</v>
      </c>
      <c r="C39" s="21" t="s">
        <v>37</v>
      </c>
      <c r="D39" s="50">
        <v>4</v>
      </c>
      <c r="E39" s="24" t="s">
        <v>303</v>
      </c>
      <c r="F39" s="21">
        <v>3</v>
      </c>
      <c r="G39" s="21">
        <v>5</v>
      </c>
      <c r="H39" s="21" t="s">
        <v>67</v>
      </c>
    </row>
    <row r="40" spans="2:8" ht="13.8">
      <c r="B40" s="24" t="s">
        <v>103</v>
      </c>
      <c r="C40" s="21" t="s">
        <v>37</v>
      </c>
      <c r="D40" s="50">
        <v>4</v>
      </c>
      <c r="E40" s="24" t="s">
        <v>303</v>
      </c>
      <c r="F40" s="21">
        <v>3</v>
      </c>
      <c r="G40" s="21">
        <v>5</v>
      </c>
      <c r="H40" s="21" t="s">
        <v>67</v>
      </c>
    </row>
    <row r="41" spans="2:8" ht="13.8">
      <c r="B41" s="24" t="s">
        <v>104</v>
      </c>
      <c r="C41" s="21" t="s">
        <v>38</v>
      </c>
      <c r="D41" s="50">
        <v>4</v>
      </c>
      <c r="E41" s="24" t="s">
        <v>303</v>
      </c>
      <c r="F41" s="21">
        <v>3</v>
      </c>
      <c r="G41" s="21">
        <v>5</v>
      </c>
      <c r="H41" s="21" t="s">
        <v>67</v>
      </c>
    </row>
    <row r="42" spans="2:8" ht="13.8">
      <c r="B42" s="22" t="s">
        <v>105</v>
      </c>
      <c r="C42" s="21" t="s">
        <v>38</v>
      </c>
      <c r="D42" s="50">
        <v>4</v>
      </c>
      <c r="E42" s="24" t="s">
        <v>303</v>
      </c>
      <c r="F42" s="21">
        <v>3</v>
      </c>
      <c r="G42" s="21">
        <v>5</v>
      </c>
      <c r="H42" s="21" t="s">
        <v>67</v>
      </c>
    </row>
    <row r="43" spans="2:8" ht="13.8">
      <c r="B43" s="22" t="s">
        <v>106</v>
      </c>
      <c r="C43" s="21" t="s">
        <v>38</v>
      </c>
      <c r="D43" s="50">
        <v>4</v>
      </c>
      <c r="E43" s="24" t="s">
        <v>303</v>
      </c>
      <c r="F43" s="21">
        <v>3</v>
      </c>
      <c r="G43" s="21">
        <v>5</v>
      </c>
      <c r="H43" s="21" t="s">
        <v>67</v>
      </c>
    </row>
    <row r="44" spans="2:8" ht="13.8">
      <c r="B44" s="22" t="s">
        <v>107</v>
      </c>
      <c r="C44" s="21" t="s">
        <v>15</v>
      </c>
      <c r="D44" s="50">
        <v>3</v>
      </c>
      <c r="E44" s="24" t="s">
        <v>303</v>
      </c>
      <c r="F44" s="21">
        <v>3</v>
      </c>
      <c r="G44" s="21">
        <v>3</v>
      </c>
      <c r="H44" s="21">
        <v>3</v>
      </c>
    </row>
    <row r="45" spans="2:8" ht="13.8">
      <c r="B45" s="22" t="s">
        <v>27</v>
      </c>
      <c r="C45" s="21" t="s">
        <v>15</v>
      </c>
      <c r="D45" s="50">
        <v>3</v>
      </c>
      <c r="E45" s="24" t="s">
        <v>303</v>
      </c>
      <c r="F45" s="21">
        <v>3</v>
      </c>
      <c r="G45" s="21">
        <v>3</v>
      </c>
      <c r="H45" s="21">
        <v>3</v>
      </c>
    </row>
    <row r="46" spans="2:8" ht="13.8">
      <c r="B46" s="22" t="s">
        <v>108</v>
      </c>
      <c r="C46" s="21" t="s">
        <v>15</v>
      </c>
      <c r="D46" s="50">
        <v>4</v>
      </c>
      <c r="E46" s="24" t="s">
        <v>303</v>
      </c>
      <c r="F46" s="21">
        <v>3</v>
      </c>
      <c r="G46" s="21">
        <v>4</v>
      </c>
      <c r="H46" s="21" t="s">
        <v>64</v>
      </c>
    </row>
    <row r="47" spans="2:8" ht="13.8">
      <c r="B47" s="22" t="s">
        <v>29</v>
      </c>
      <c r="C47" s="21" t="s">
        <v>15</v>
      </c>
      <c r="D47" s="50">
        <v>4</v>
      </c>
      <c r="E47" s="24" t="s">
        <v>303</v>
      </c>
      <c r="F47" s="21">
        <v>3</v>
      </c>
      <c r="G47" s="21">
        <v>4</v>
      </c>
      <c r="H47" s="21" t="s">
        <v>64</v>
      </c>
    </row>
    <row r="48" spans="2:8" ht="13.8">
      <c r="B48" s="22" t="s">
        <v>109</v>
      </c>
      <c r="C48" s="21" t="s">
        <v>19</v>
      </c>
      <c r="D48" s="50">
        <v>4</v>
      </c>
      <c r="E48" s="24" t="s">
        <v>303</v>
      </c>
      <c r="F48" s="21">
        <v>3</v>
      </c>
      <c r="G48" s="21">
        <v>5</v>
      </c>
      <c r="H48" s="21" t="s">
        <v>67</v>
      </c>
    </row>
    <row r="49" spans="2:8" ht="13.8">
      <c r="B49" s="22" t="s">
        <v>110</v>
      </c>
      <c r="C49" s="21" t="s">
        <v>19</v>
      </c>
      <c r="D49" s="50">
        <v>4</v>
      </c>
      <c r="E49" s="24" t="s">
        <v>303</v>
      </c>
      <c r="F49" s="21">
        <v>3</v>
      </c>
      <c r="G49" s="21">
        <v>5</v>
      </c>
      <c r="H49" s="21" t="s">
        <v>67</v>
      </c>
    </row>
    <row r="50" spans="2:8" ht="13.8">
      <c r="B50" s="24" t="s">
        <v>111</v>
      </c>
      <c r="C50" s="21" t="s">
        <v>19</v>
      </c>
      <c r="D50" s="50">
        <v>4</v>
      </c>
      <c r="E50" s="24" t="s">
        <v>303</v>
      </c>
      <c r="F50" s="21">
        <v>3</v>
      </c>
      <c r="G50" s="21">
        <v>5</v>
      </c>
      <c r="H50" s="21" t="s">
        <v>67</v>
      </c>
    </row>
    <row r="51" spans="2:8" ht="13.8">
      <c r="B51" s="22" t="s">
        <v>112</v>
      </c>
      <c r="C51" s="21" t="s">
        <v>19</v>
      </c>
      <c r="D51" s="50">
        <v>4</v>
      </c>
      <c r="E51" s="24" t="s">
        <v>303</v>
      </c>
      <c r="F51" s="21">
        <v>3</v>
      </c>
      <c r="G51" s="21">
        <v>5</v>
      </c>
      <c r="H51" s="21" t="s">
        <v>67</v>
      </c>
    </row>
    <row r="52" spans="2:8" ht="13.8">
      <c r="B52" s="22" t="s">
        <v>113</v>
      </c>
      <c r="C52" s="21" t="s">
        <v>37</v>
      </c>
      <c r="D52" s="50">
        <v>4</v>
      </c>
      <c r="E52" s="24" t="s">
        <v>303</v>
      </c>
      <c r="F52" s="21">
        <v>3</v>
      </c>
      <c r="G52" s="21">
        <v>5</v>
      </c>
      <c r="H52" s="21" t="s">
        <v>67</v>
      </c>
    </row>
    <row r="53" spans="2:8" ht="13.8">
      <c r="B53" s="22" t="s">
        <v>114</v>
      </c>
      <c r="C53" s="21" t="s">
        <v>37</v>
      </c>
      <c r="D53" s="50">
        <v>4</v>
      </c>
      <c r="E53" s="24" t="s">
        <v>303</v>
      </c>
      <c r="F53" s="21">
        <v>3</v>
      </c>
      <c r="G53" s="21">
        <v>5</v>
      </c>
      <c r="H53" s="21" t="s">
        <v>67</v>
      </c>
    </row>
    <row r="54" spans="2:8" ht="13.8">
      <c r="B54" s="22" t="s">
        <v>115</v>
      </c>
      <c r="C54" s="21" t="s">
        <v>37</v>
      </c>
      <c r="D54" s="50">
        <v>4</v>
      </c>
      <c r="E54" s="24" t="s">
        <v>303</v>
      </c>
      <c r="F54" s="21">
        <v>3</v>
      </c>
      <c r="G54" s="21">
        <v>5</v>
      </c>
      <c r="H54" s="21" t="s">
        <v>67</v>
      </c>
    </row>
    <row r="55" spans="2:8" ht="13.8">
      <c r="B55" s="22" t="s">
        <v>116</v>
      </c>
      <c r="C55" s="21" t="s">
        <v>37</v>
      </c>
      <c r="D55" s="50">
        <v>4</v>
      </c>
      <c r="E55" s="24" t="s">
        <v>303</v>
      </c>
      <c r="F55" s="21">
        <v>3</v>
      </c>
      <c r="G55" s="21">
        <v>5</v>
      </c>
      <c r="H55" s="21" t="s">
        <v>67</v>
      </c>
    </row>
    <row r="56" spans="2:8" ht="13.8">
      <c r="B56" s="22" t="s">
        <v>117</v>
      </c>
      <c r="C56" s="21" t="s">
        <v>37</v>
      </c>
      <c r="D56" s="50">
        <v>4</v>
      </c>
      <c r="E56" s="24" t="s">
        <v>303</v>
      </c>
      <c r="F56" s="21">
        <v>3</v>
      </c>
      <c r="G56" s="21">
        <v>5</v>
      </c>
      <c r="H56" s="21" t="s">
        <v>67</v>
      </c>
    </row>
    <row r="57" spans="2:8" ht="13.8">
      <c r="B57" s="22" t="s">
        <v>118</v>
      </c>
      <c r="C57" s="21" t="s">
        <v>37</v>
      </c>
      <c r="D57" s="50">
        <v>4</v>
      </c>
      <c r="E57" s="24" t="s">
        <v>303</v>
      </c>
      <c r="F57" s="21">
        <v>3</v>
      </c>
      <c r="G57" s="21">
        <v>5</v>
      </c>
      <c r="H57" s="21" t="s">
        <v>67</v>
      </c>
    </row>
    <row r="58" spans="2:8" ht="13.8">
      <c r="B58" s="22" t="s">
        <v>119</v>
      </c>
      <c r="C58" s="21" t="s">
        <v>37</v>
      </c>
      <c r="D58" s="50">
        <v>4</v>
      </c>
      <c r="E58" s="24" t="s">
        <v>303</v>
      </c>
      <c r="F58" s="21">
        <v>3</v>
      </c>
      <c r="G58" s="21">
        <v>5</v>
      </c>
      <c r="H58" s="21" t="s">
        <v>67</v>
      </c>
    </row>
    <row r="59" spans="2:8" ht="13.8">
      <c r="B59" s="22" t="s">
        <v>120</v>
      </c>
      <c r="C59" s="21" t="s">
        <v>37</v>
      </c>
      <c r="D59" s="50">
        <v>4</v>
      </c>
      <c r="E59" s="24" t="s">
        <v>303</v>
      </c>
      <c r="F59" s="21">
        <v>3</v>
      </c>
      <c r="G59" s="21">
        <v>5</v>
      </c>
      <c r="H59" s="21" t="s">
        <v>67</v>
      </c>
    </row>
    <row r="60" spans="2:8" ht="13.8">
      <c r="B60" s="22" t="s">
        <v>121</v>
      </c>
      <c r="C60" s="21" t="s">
        <v>37</v>
      </c>
      <c r="D60" s="50">
        <v>4</v>
      </c>
      <c r="E60" s="24" t="s">
        <v>303</v>
      </c>
      <c r="F60" s="21">
        <v>3</v>
      </c>
      <c r="G60" s="21">
        <v>5</v>
      </c>
      <c r="H60" s="21" t="s">
        <v>67</v>
      </c>
    </row>
    <row r="61" spans="2:8" ht="13.8">
      <c r="B61" s="22" t="s">
        <v>122</v>
      </c>
      <c r="C61" s="21" t="s">
        <v>38</v>
      </c>
      <c r="D61" s="50">
        <v>4</v>
      </c>
      <c r="E61" s="24" t="s">
        <v>304</v>
      </c>
      <c r="F61" s="21">
        <v>3</v>
      </c>
      <c r="G61" s="21">
        <v>5</v>
      </c>
      <c r="H61" s="21" t="s">
        <v>67</v>
      </c>
    </row>
    <row r="62" spans="2:8" ht="13.8">
      <c r="B62" s="22" t="s">
        <v>123</v>
      </c>
      <c r="C62" s="21" t="s">
        <v>38</v>
      </c>
      <c r="D62" s="50">
        <v>4</v>
      </c>
      <c r="E62" s="24" t="s">
        <v>304</v>
      </c>
      <c r="F62" s="21">
        <v>3</v>
      </c>
      <c r="G62" s="21">
        <v>5</v>
      </c>
      <c r="H62" s="21" t="s">
        <v>67</v>
      </c>
    </row>
    <row r="63" spans="2:8" ht="13.8">
      <c r="B63" s="22" t="s">
        <v>124</v>
      </c>
      <c r="C63" s="21" t="s">
        <v>38</v>
      </c>
      <c r="D63" s="50">
        <v>4</v>
      </c>
      <c r="E63" s="24" t="s">
        <v>304</v>
      </c>
      <c r="F63" s="21">
        <v>3</v>
      </c>
      <c r="G63" s="21">
        <v>5</v>
      </c>
      <c r="H63" s="21" t="s">
        <v>67</v>
      </c>
    </row>
    <row r="64" spans="2:8" ht="13.8">
      <c r="B64" s="22" t="s">
        <v>125</v>
      </c>
      <c r="C64" s="21" t="s">
        <v>38</v>
      </c>
      <c r="D64" s="50">
        <v>4</v>
      </c>
      <c r="E64" s="24" t="s">
        <v>304</v>
      </c>
      <c r="F64" s="21">
        <v>3</v>
      </c>
      <c r="G64" s="21">
        <v>5</v>
      </c>
      <c r="H64" s="21" t="s">
        <v>67</v>
      </c>
    </row>
    <row r="65" spans="2:8" ht="13.8">
      <c r="B65" s="22" t="s">
        <v>126</v>
      </c>
      <c r="C65" s="21" t="s">
        <v>38</v>
      </c>
      <c r="D65" s="50">
        <v>4</v>
      </c>
      <c r="E65" s="24" t="s">
        <v>304</v>
      </c>
      <c r="F65" s="21">
        <v>3</v>
      </c>
      <c r="G65" s="21">
        <v>5</v>
      </c>
      <c r="H65" s="21" t="s">
        <v>67</v>
      </c>
    </row>
    <row r="66" spans="2:8" ht="13.8">
      <c r="B66" s="22" t="s">
        <v>127</v>
      </c>
      <c r="C66" s="21" t="s">
        <v>38</v>
      </c>
      <c r="D66" s="50">
        <v>4</v>
      </c>
      <c r="E66" s="24" t="s">
        <v>304</v>
      </c>
      <c r="F66" s="21">
        <v>3</v>
      </c>
      <c r="G66" s="21">
        <v>5</v>
      </c>
      <c r="H66" s="21" t="s">
        <v>67</v>
      </c>
    </row>
    <row r="67" spans="2:8" ht="13.8">
      <c r="B67" s="22" t="s">
        <v>129</v>
      </c>
      <c r="C67" s="21" t="s">
        <v>15</v>
      </c>
      <c r="D67" s="50">
        <v>4</v>
      </c>
      <c r="E67" s="24" t="s">
        <v>303</v>
      </c>
      <c r="F67" s="21">
        <v>3</v>
      </c>
      <c r="G67" s="21">
        <v>4</v>
      </c>
      <c r="H67" s="21" t="s">
        <v>64</v>
      </c>
    </row>
    <row r="68" spans="2:8" ht="13.8">
      <c r="B68" s="22" t="s">
        <v>31</v>
      </c>
      <c r="C68" s="21" t="s">
        <v>15</v>
      </c>
      <c r="D68" s="50">
        <v>4</v>
      </c>
      <c r="E68" s="24" t="s">
        <v>303</v>
      </c>
      <c r="F68" s="21">
        <v>3</v>
      </c>
      <c r="G68" s="21">
        <v>4</v>
      </c>
      <c r="H68" s="21" t="s">
        <v>64</v>
      </c>
    </row>
    <row r="69" spans="2:8" ht="13.8">
      <c r="B69" s="25" t="s">
        <v>130</v>
      </c>
      <c r="C69" s="21" t="s">
        <v>15</v>
      </c>
      <c r="D69" s="50">
        <v>1</v>
      </c>
      <c r="E69" s="24" t="s">
        <v>305</v>
      </c>
      <c r="F69" s="21">
        <v>1</v>
      </c>
      <c r="G69" s="21">
        <v>1</v>
      </c>
      <c r="H69" s="21">
        <v>1</v>
      </c>
    </row>
    <row r="70" spans="2:8" ht="13.8">
      <c r="B70" s="25" t="s">
        <v>34</v>
      </c>
      <c r="C70" s="21" t="s">
        <v>15</v>
      </c>
      <c r="D70" s="50">
        <v>1</v>
      </c>
      <c r="E70" s="24" t="s">
        <v>305</v>
      </c>
      <c r="F70" s="21">
        <v>1</v>
      </c>
      <c r="G70" s="21">
        <v>1</v>
      </c>
      <c r="H70" s="21">
        <v>1</v>
      </c>
    </row>
    <row r="71" spans="2:8" ht="13.8">
      <c r="B71" s="22" t="s">
        <v>131</v>
      </c>
      <c r="C71" s="21" t="s">
        <v>19</v>
      </c>
      <c r="D71" s="50">
        <v>4</v>
      </c>
      <c r="E71" s="24" t="s">
        <v>303</v>
      </c>
      <c r="F71" s="21">
        <v>3</v>
      </c>
      <c r="G71" s="21">
        <v>5</v>
      </c>
      <c r="H71" s="21" t="s">
        <v>67</v>
      </c>
    </row>
    <row r="72" spans="2:8" ht="13.8">
      <c r="B72" s="22" t="s">
        <v>132</v>
      </c>
      <c r="C72" s="21" t="s">
        <v>19</v>
      </c>
      <c r="D72" s="50">
        <v>4</v>
      </c>
      <c r="E72" s="24" t="s">
        <v>303</v>
      </c>
      <c r="F72" s="21">
        <v>3</v>
      </c>
      <c r="G72" s="21">
        <v>5</v>
      </c>
      <c r="H72" s="21" t="s">
        <v>67</v>
      </c>
    </row>
    <row r="73" spans="2:8" ht="13.8">
      <c r="B73" s="22" t="s">
        <v>133</v>
      </c>
      <c r="C73" s="21" t="s">
        <v>19</v>
      </c>
      <c r="D73" s="50">
        <v>4</v>
      </c>
      <c r="E73" s="24" t="s">
        <v>303</v>
      </c>
      <c r="F73" s="21">
        <v>3</v>
      </c>
      <c r="G73" s="21">
        <v>5</v>
      </c>
      <c r="H73" s="21" t="s">
        <v>67</v>
      </c>
    </row>
    <row r="74" spans="2:8" ht="13.8">
      <c r="B74" s="22" t="s">
        <v>134</v>
      </c>
      <c r="C74" s="21" t="s">
        <v>19</v>
      </c>
      <c r="D74" s="50">
        <v>4</v>
      </c>
      <c r="E74" s="24" t="s">
        <v>303</v>
      </c>
      <c r="F74" s="21">
        <v>3</v>
      </c>
      <c r="G74" s="21">
        <v>5</v>
      </c>
      <c r="H74" s="21" t="s">
        <v>67</v>
      </c>
    </row>
    <row r="75" spans="2:8" ht="13.8">
      <c r="B75" s="22" t="s">
        <v>135</v>
      </c>
      <c r="C75" s="21" t="s">
        <v>37</v>
      </c>
      <c r="D75" s="50">
        <v>4</v>
      </c>
      <c r="E75" s="24" t="s">
        <v>303</v>
      </c>
      <c r="F75" s="21">
        <v>3</v>
      </c>
      <c r="G75" s="21">
        <v>5</v>
      </c>
      <c r="H75" s="21" t="s">
        <v>67</v>
      </c>
    </row>
    <row r="76" spans="2:8" ht="13.8">
      <c r="B76" s="22" t="s">
        <v>136</v>
      </c>
      <c r="C76" s="21" t="s">
        <v>37</v>
      </c>
      <c r="D76" s="50">
        <v>4</v>
      </c>
      <c r="E76" s="24" t="s">
        <v>303</v>
      </c>
      <c r="F76" s="21">
        <v>3</v>
      </c>
      <c r="G76" s="21">
        <v>5</v>
      </c>
      <c r="H76" s="21" t="s">
        <v>67</v>
      </c>
    </row>
    <row r="77" spans="2:8" ht="13.8">
      <c r="B77" s="22" t="s">
        <v>137</v>
      </c>
      <c r="C77" s="21" t="s">
        <v>37</v>
      </c>
      <c r="D77" s="50">
        <v>4</v>
      </c>
      <c r="E77" s="24" t="s">
        <v>303</v>
      </c>
      <c r="F77" s="21">
        <v>3</v>
      </c>
      <c r="G77" s="21">
        <v>5</v>
      </c>
      <c r="H77" s="21" t="s">
        <v>67</v>
      </c>
    </row>
    <row r="78" spans="2:8" ht="13.8">
      <c r="B78" s="22" t="s">
        <v>138</v>
      </c>
      <c r="C78" s="21" t="s">
        <v>37</v>
      </c>
      <c r="D78" s="50">
        <v>4</v>
      </c>
      <c r="E78" s="24" t="s">
        <v>303</v>
      </c>
      <c r="F78" s="21">
        <v>3</v>
      </c>
      <c r="G78" s="21">
        <v>5</v>
      </c>
      <c r="H78" s="21" t="s">
        <v>67</v>
      </c>
    </row>
    <row r="79" spans="2:8" ht="13.8">
      <c r="B79" s="22" t="s">
        <v>139</v>
      </c>
      <c r="C79" s="21" t="s">
        <v>37</v>
      </c>
      <c r="D79" s="50">
        <v>4</v>
      </c>
      <c r="E79" s="24" t="s">
        <v>303</v>
      </c>
      <c r="F79" s="21">
        <v>3</v>
      </c>
      <c r="G79" s="21">
        <v>5</v>
      </c>
      <c r="H79" s="21" t="s">
        <v>67</v>
      </c>
    </row>
    <row r="80" spans="2:8" ht="13.8">
      <c r="B80" s="22" t="s">
        <v>140</v>
      </c>
      <c r="C80" s="21" t="s">
        <v>37</v>
      </c>
      <c r="D80" s="50">
        <v>4</v>
      </c>
      <c r="E80" s="24" t="s">
        <v>303</v>
      </c>
      <c r="F80" s="21">
        <v>3</v>
      </c>
      <c r="G80" s="21">
        <v>5</v>
      </c>
      <c r="H80" s="21" t="s">
        <v>67</v>
      </c>
    </row>
    <row r="81" spans="2:8" ht="13.8">
      <c r="B81" s="22" t="s">
        <v>141</v>
      </c>
      <c r="C81" s="21" t="s">
        <v>37</v>
      </c>
      <c r="D81" s="50">
        <v>4</v>
      </c>
      <c r="E81" s="24" t="s">
        <v>303</v>
      </c>
      <c r="F81" s="21">
        <v>3</v>
      </c>
      <c r="G81" s="21">
        <v>5</v>
      </c>
      <c r="H81" s="21" t="s">
        <v>67</v>
      </c>
    </row>
    <row r="82" spans="2:8" ht="13.8">
      <c r="B82" s="22" t="s">
        <v>142</v>
      </c>
      <c r="C82" s="21" t="s">
        <v>37</v>
      </c>
      <c r="D82" s="50">
        <v>4</v>
      </c>
      <c r="E82" s="24" t="s">
        <v>303</v>
      </c>
      <c r="F82" s="21">
        <v>3</v>
      </c>
      <c r="G82" s="21">
        <v>5</v>
      </c>
      <c r="H82" s="21" t="s">
        <v>67</v>
      </c>
    </row>
    <row r="83" spans="2:8" ht="13.8">
      <c r="B83" s="22" t="s">
        <v>143</v>
      </c>
      <c r="C83" s="21" t="s">
        <v>38</v>
      </c>
      <c r="D83" s="50">
        <v>4</v>
      </c>
      <c r="E83" s="24" t="s">
        <v>304</v>
      </c>
      <c r="F83" s="21">
        <v>3</v>
      </c>
      <c r="G83" s="21">
        <v>5</v>
      </c>
      <c r="H83" s="21" t="s">
        <v>67</v>
      </c>
    </row>
    <row r="84" spans="2:8" ht="13.8">
      <c r="B84" s="22" t="s">
        <v>144</v>
      </c>
      <c r="C84" s="21" t="s">
        <v>38</v>
      </c>
      <c r="D84" s="50">
        <v>4</v>
      </c>
      <c r="E84" s="24" t="s">
        <v>304</v>
      </c>
      <c r="F84" s="21">
        <v>3</v>
      </c>
      <c r="G84" s="21">
        <v>5</v>
      </c>
      <c r="H84" s="21" t="s">
        <v>67</v>
      </c>
    </row>
    <row r="85" spans="2:8" ht="13.8">
      <c r="B85" s="24" t="s">
        <v>145</v>
      </c>
      <c r="C85" s="21" t="s">
        <v>38</v>
      </c>
      <c r="D85" s="50">
        <v>4</v>
      </c>
      <c r="E85" s="24" t="s">
        <v>304</v>
      </c>
      <c r="F85" s="21">
        <v>3</v>
      </c>
      <c r="G85" s="21">
        <v>5</v>
      </c>
      <c r="H85" s="21" t="s">
        <v>67</v>
      </c>
    </row>
    <row r="86" spans="2:8" ht="13.8">
      <c r="B86" s="24" t="s">
        <v>147</v>
      </c>
      <c r="C86" s="21" t="s">
        <v>19</v>
      </c>
      <c r="D86" s="50">
        <v>3</v>
      </c>
      <c r="E86" s="24" t="s">
        <v>305</v>
      </c>
      <c r="F86" s="21">
        <v>2</v>
      </c>
      <c r="G86" s="21">
        <v>4</v>
      </c>
      <c r="H86" s="21" t="s">
        <v>148</v>
      </c>
    </row>
    <row r="87" spans="2:8" ht="13.8">
      <c r="B87" s="24" t="s">
        <v>149</v>
      </c>
      <c r="C87" s="21" t="s">
        <v>19</v>
      </c>
      <c r="D87" s="50">
        <v>3</v>
      </c>
      <c r="E87" s="24" t="s">
        <v>305</v>
      </c>
      <c r="F87" s="21">
        <v>2</v>
      </c>
      <c r="G87" s="21">
        <v>4</v>
      </c>
      <c r="H87" s="21" t="s">
        <v>148</v>
      </c>
    </row>
    <row r="88" spans="2:8" ht="13.8">
      <c r="B88" s="24" t="s">
        <v>150</v>
      </c>
      <c r="C88" s="21" t="s">
        <v>37</v>
      </c>
      <c r="D88" s="50">
        <v>3</v>
      </c>
      <c r="E88" s="24" t="s">
        <v>305</v>
      </c>
      <c r="F88" s="21">
        <v>2</v>
      </c>
      <c r="G88" s="21">
        <v>4</v>
      </c>
      <c r="H88" s="21" t="s">
        <v>148</v>
      </c>
    </row>
    <row r="89" spans="2:8" ht="13.8">
      <c r="B89" s="24" t="s">
        <v>151</v>
      </c>
      <c r="C89" s="21" t="s">
        <v>37</v>
      </c>
      <c r="D89" s="50">
        <v>2</v>
      </c>
      <c r="E89" s="24" t="s">
        <v>305</v>
      </c>
      <c r="F89" s="21">
        <v>1</v>
      </c>
      <c r="G89" s="21">
        <v>2</v>
      </c>
      <c r="H89" s="21" t="s">
        <v>152</v>
      </c>
    </row>
    <row r="90" spans="2:8" ht="13.8">
      <c r="B90" s="24" t="s">
        <v>153</v>
      </c>
      <c r="C90" s="21" t="s">
        <v>37</v>
      </c>
      <c r="D90" s="50">
        <v>2</v>
      </c>
      <c r="E90" s="24" t="s">
        <v>305</v>
      </c>
      <c r="F90" s="21">
        <v>1</v>
      </c>
      <c r="G90" s="21">
        <v>2</v>
      </c>
      <c r="H90" s="21" t="s">
        <v>152</v>
      </c>
    </row>
    <row r="91" spans="2:8" ht="13.8">
      <c r="B91" s="24" t="s">
        <v>154</v>
      </c>
      <c r="C91" s="21" t="s">
        <v>38</v>
      </c>
      <c r="D91" s="50">
        <v>3</v>
      </c>
      <c r="E91" s="24" t="s">
        <v>305</v>
      </c>
      <c r="F91" s="21">
        <v>2</v>
      </c>
      <c r="G91" s="21">
        <v>4</v>
      </c>
      <c r="H91" s="21" t="s">
        <v>148</v>
      </c>
    </row>
    <row r="92" spans="2:8" ht="13.8">
      <c r="B92" s="24" t="s">
        <v>155</v>
      </c>
      <c r="C92" s="21" t="s">
        <v>38</v>
      </c>
      <c r="D92" s="50">
        <v>3</v>
      </c>
      <c r="E92" s="24" t="s">
        <v>305</v>
      </c>
      <c r="F92" s="21">
        <v>2</v>
      </c>
      <c r="G92" s="21">
        <v>4</v>
      </c>
      <c r="H92" s="21" t="s">
        <v>148</v>
      </c>
    </row>
    <row r="93" spans="2:8" ht="13.8">
      <c r="B93" s="24" t="s">
        <v>157</v>
      </c>
      <c r="C93" s="21" t="s">
        <v>19</v>
      </c>
      <c r="D93" s="50">
        <v>3</v>
      </c>
      <c r="E93" s="24" t="s">
        <v>305</v>
      </c>
      <c r="F93" s="21">
        <v>2</v>
      </c>
      <c r="G93" s="21">
        <v>4</v>
      </c>
      <c r="H93" s="21" t="s">
        <v>148</v>
      </c>
    </row>
    <row r="94" spans="2:8" ht="13.8">
      <c r="B94" s="24" t="s">
        <v>158</v>
      </c>
      <c r="C94" s="21" t="s">
        <v>19</v>
      </c>
      <c r="D94" s="50">
        <v>3</v>
      </c>
      <c r="E94" s="24" t="s">
        <v>305</v>
      </c>
      <c r="F94" s="21">
        <v>2</v>
      </c>
      <c r="G94" s="21">
        <v>4</v>
      </c>
      <c r="H94" s="21" t="s">
        <v>148</v>
      </c>
    </row>
    <row r="95" spans="2:8" ht="13.8">
      <c r="B95" s="24" t="s">
        <v>159</v>
      </c>
      <c r="C95" s="21" t="s">
        <v>19</v>
      </c>
      <c r="D95" s="50">
        <v>3</v>
      </c>
      <c r="E95" s="24" t="s">
        <v>305</v>
      </c>
      <c r="F95" s="21">
        <v>2</v>
      </c>
      <c r="G95" s="21">
        <v>4</v>
      </c>
      <c r="H95" s="21" t="s">
        <v>148</v>
      </c>
    </row>
    <row r="96" spans="2:8" ht="13.8">
      <c r="B96" s="24" t="s">
        <v>160</v>
      </c>
      <c r="C96" s="21" t="s">
        <v>37</v>
      </c>
      <c r="D96" s="50">
        <v>3</v>
      </c>
      <c r="E96" s="24" t="s">
        <v>305</v>
      </c>
      <c r="F96" s="21">
        <v>2</v>
      </c>
      <c r="G96" s="21">
        <v>4</v>
      </c>
      <c r="H96" s="21" t="s">
        <v>148</v>
      </c>
    </row>
    <row r="97" spans="2:8" ht="13.8">
      <c r="B97" s="24" t="s">
        <v>161</v>
      </c>
      <c r="C97" s="21" t="s">
        <v>37</v>
      </c>
      <c r="D97" s="50">
        <v>3</v>
      </c>
      <c r="E97" s="24" t="s">
        <v>305</v>
      </c>
      <c r="F97" s="21">
        <v>2</v>
      </c>
      <c r="G97" s="21">
        <v>4</v>
      </c>
      <c r="H97" s="21" t="s">
        <v>148</v>
      </c>
    </row>
    <row r="98" spans="2:8" ht="13.8">
      <c r="B98" s="22" t="s">
        <v>162</v>
      </c>
      <c r="C98" s="21" t="s">
        <v>37</v>
      </c>
      <c r="D98" s="50">
        <v>3</v>
      </c>
      <c r="E98" s="24" t="s">
        <v>305</v>
      </c>
      <c r="F98" s="21">
        <v>2</v>
      </c>
      <c r="G98" s="21">
        <v>4</v>
      </c>
      <c r="H98" s="21" t="s">
        <v>148</v>
      </c>
    </row>
    <row r="99" spans="2:8" ht="13.8">
      <c r="B99" s="22" t="s">
        <v>163</v>
      </c>
      <c r="C99" s="21" t="s">
        <v>37</v>
      </c>
      <c r="D99" s="50">
        <v>3</v>
      </c>
      <c r="E99" s="24" t="s">
        <v>305</v>
      </c>
      <c r="F99" s="21">
        <v>2</v>
      </c>
      <c r="G99" s="21">
        <v>4</v>
      </c>
      <c r="H99" s="21" t="s">
        <v>148</v>
      </c>
    </row>
    <row r="100" spans="2:8" ht="13.8">
      <c r="B100" s="22" t="s">
        <v>164</v>
      </c>
      <c r="C100" s="21" t="s">
        <v>38</v>
      </c>
      <c r="D100" s="50">
        <v>3</v>
      </c>
      <c r="E100" s="24" t="s">
        <v>305</v>
      </c>
      <c r="F100" s="21">
        <v>2</v>
      </c>
      <c r="G100" s="21">
        <v>4</v>
      </c>
      <c r="H100" s="21" t="s">
        <v>148</v>
      </c>
    </row>
    <row r="101" spans="2:8" ht="13.8">
      <c r="B101" s="22" t="s">
        <v>165</v>
      </c>
      <c r="C101" s="21" t="s">
        <v>38</v>
      </c>
      <c r="D101" s="50">
        <v>3</v>
      </c>
      <c r="E101" s="24" t="s">
        <v>305</v>
      </c>
      <c r="F101" s="21">
        <v>2</v>
      </c>
      <c r="G101" s="21">
        <v>4</v>
      </c>
      <c r="H101" s="21" t="s">
        <v>148</v>
      </c>
    </row>
    <row r="102" spans="2:8" ht="13.8">
      <c r="B102" s="22" t="s">
        <v>166</v>
      </c>
      <c r="C102" s="21" t="s">
        <v>19</v>
      </c>
      <c r="D102" s="50">
        <v>4</v>
      </c>
      <c r="E102" s="24" t="s">
        <v>303</v>
      </c>
      <c r="F102" s="21">
        <v>3</v>
      </c>
      <c r="G102" s="21">
        <v>5</v>
      </c>
      <c r="H102" s="21" t="s">
        <v>67</v>
      </c>
    </row>
    <row r="103" spans="2:8" ht="13.8">
      <c r="B103" s="22" t="s">
        <v>167</v>
      </c>
      <c r="C103" s="21" t="s">
        <v>37</v>
      </c>
      <c r="D103" s="50">
        <v>4</v>
      </c>
      <c r="E103" s="24" t="s">
        <v>303</v>
      </c>
      <c r="F103" s="21">
        <v>3</v>
      </c>
      <c r="G103" s="21">
        <v>5</v>
      </c>
      <c r="H103" s="21" t="s">
        <v>67</v>
      </c>
    </row>
    <row r="104" spans="2:8" ht="13.8">
      <c r="B104" s="22" t="s">
        <v>168</v>
      </c>
      <c r="C104" s="21" t="s">
        <v>37</v>
      </c>
      <c r="D104" s="50">
        <v>4</v>
      </c>
      <c r="E104" s="24" t="s">
        <v>303</v>
      </c>
      <c r="F104" s="21">
        <v>3</v>
      </c>
      <c r="G104" s="21">
        <v>5</v>
      </c>
      <c r="H104" s="21" t="s">
        <v>67</v>
      </c>
    </row>
    <row r="105" spans="2:8" ht="13.8">
      <c r="B105" s="24" t="s">
        <v>169</v>
      </c>
      <c r="C105" s="21" t="s">
        <v>38</v>
      </c>
      <c r="D105" s="50">
        <v>4</v>
      </c>
      <c r="E105" s="24" t="s">
        <v>303</v>
      </c>
      <c r="F105" s="21">
        <v>3</v>
      </c>
      <c r="G105" s="21">
        <v>5</v>
      </c>
      <c r="H105" s="21" t="s">
        <v>67</v>
      </c>
    </row>
    <row r="106" spans="2:8" ht="13.8">
      <c r="B106" s="22" t="s">
        <v>170</v>
      </c>
      <c r="C106" s="21" t="s">
        <v>38</v>
      </c>
      <c r="D106" s="50">
        <v>4</v>
      </c>
      <c r="E106" s="24" t="s">
        <v>303</v>
      </c>
      <c r="F106" s="21">
        <v>3</v>
      </c>
      <c r="G106" s="21">
        <v>5</v>
      </c>
      <c r="H106" s="21" t="s">
        <v>67</v>
      </c>
    </row>
    <row r="107" spans="2:8" ht="13.8">
      <c r="B107" s="22" t="s">
        <v>171</v>
      </c>
      <c r="C107" s="21" t="s">
        <v>38</v>
      </c>
      <c r="D107" s="50">
        <v>2</v>
      </c>
      <c r="E107" s="24" t="s">
        <v>303</v>
      </c>
      <c r="F107" s="21">
        <v>1</v>
      </c>
      <c r="G107" s="21">
        <v>2</v>
      </c>
      <c r="H107" s="21" t="s">
        <v>152</v>
      </c>
    </row>
    <row r="108" spans="2:8" ht="13.8">
      <c r="B108" s="22" t="s">
        <v>172</v>
      </c>
      <c r="C108" s="21" t="s">
        <v>38</v>
      </c>
      <c r="D108" s="50">
        <v>4</v>
      </c>
      <c r="E108" s="24" t="s">
        <v>303</v>
      </c>
      <c r="F108" s="21">
        <v>3</v>
      </c>
      <c r="G108" s="21">
        <v>5</v>
      </c>
      <c r="H108" s="21" t="s">
        <v>67</v>
      </c>
    </row>
    <row r="109" spans="2:8" ht="13.8">
      <c r="B109" s="22" t="s">
        <v>173</v>
      </c>
      <c r="C109" s="21" t="s">
        <v>19</v>
      </c>
      <c r="D109" s="50">
        <v>4</v>
      </c>
      <c r="E109" s="24" t="s">
        <v>303</v>
      </c>
      <c r="F109" s="21">
        <v>3</v>
      </c>
      <c r="G109" s="21">
        <v>5</v>
      </c>
      <c r="H109" s="21" t="s">
        <v>67</v>
      </c>
    </row>
    <row r="110" spans="2:8" ht="13.8">
      <c r="B110" s="22" t="s">
        <v>174</v>
      </c>
      <c r="C110" s="21" t="s">
        <v>37</v>
      </c>
      <c r="D110" s="50">
        <v>4</v>
      </c>
      <c r="E110" s="24" t="s">
        <v>303</v>
      </c>
      <c r="F110" s="21">
        <v>3</v>
      </c>
      <c r="G110" s="21">
        <v>5</v>
      </c>
      <c r="H110" s="21" t="s">
        <v>67</v>
      </c>
    </row>
    <row r="111" spans="2:8" ht="13.8">
      <c r="B111" s="22" t="s">
        <v>175</v>
      </c>
      <c r="C111" s="21" t="s">
        <v>37</v>
      </c>
      <c r="D111" s="50">
        <v>4</v>
      </c>
      <c r="E111" s="24" t="s">
        <v>303</v>
      </c>
      <c r="F111" s="21">
        <v>3</v>
      </c>
      <c r="G111" s="21">
        <v>5</v>
      </c>
      <c r="H111" s="21" t="s">
        <v>67</v>
      </c>
    </row>
    <row r="112" spans="2:8" ht="13.8">
      <c r="B112" s="22" t="s">
        <v>176</v>
      </c>
      <c r="C112" s="21" t="s">
        <v>38</v>
      </c>
      <c r="D112" s="50">
        <v>4</v>
      </c>
      <c r="E112" s="24" t="s">
        <v>303</v>
      </c>
      <c r="F112" s="21">
        <v>3</v>
      </c>
      <c r="G112" s="21">
        <v>5</v>
      </c>
      <c r="H112" s="21" t="s">
        <v>67</v>
      </c>
    </row>
    <row r="113" spans="2:8" ht="13.8">
      <c r="B113" s="22" t="s">
        <v>177</v>
      </c>
      <c r="C113" s="21" t="s">
        <v>19</v>
      </c>
      <c r="D113" s="50">
        <v>4</v>
      </c>
      <c r="E113" s="24" t="s">
        <v>303</v>
      </c>
      <c r="F113" s="21">
        <v>3</v>
      </c>
      <c r="G113" s="21">
        <v>5</v>
      </c>
      <c r="H113" s="21" t="s">
        <v>67</v>
      </c>
    </row>
    <row r="114" spans="2:8" ht="13.8">
      <c r="B114" s="22" t="s">
        <v>178</v>
      </c>
      <c r="C114" s="21" t="s">
        <v>19</v>
      </c>
      <c r="D114" s="50">
        <v>4</v>
      </c>
      <c r="E114" s="24" t="s">
        <v>303</v>
      </c>
      <c r="F114" s="21">
        <v>3</v>
      </c>
      <c r="G114" s="21">
        <v>5</v>
      </c>
      <c r="H114" s="21" t="s">
        <v>67</v>
      </c>
    </row>
    <row r="115" spans="2:8" ht="13.8">
      <c r="B115" s="22" t="s">
        <v>179</v>
      </c>
      <c r="C115" s="21" t="s">
        <v>19</v>
      </c>
      <c r="D115" s="50">
        <v>4</v>
      </c>
      <c r="E115" s="24" t="s">
        <v>303</v>
      </c>
      <c r="F115" s="21">
        <v>3</v>
      </c>
      <c r="G115" s="21">
        <v>5</v>
      </c>
      <c r="H115" s="21" t="s">
        <v>67</v>
      </c>
    </row>
    <row r="116" spans="2:8" ht="13.8">
      <c r="B116" s="22" t="s">
        <v>180</v>
      </c>
      <c r="C116" s="21" t="s">
        <v>19</v>
      </c>
      <c r="D116" s="50">
        <v>4</v>
      </c>
      <c r="E116" s="24" t="s">
        <v>303</v>
      </c>
      <c r="F116" s="21">
        <v>3</v>
      </c>
      <c r="G116" s="21">
        <v>5</v>
      </c>
      <c r="H116" s="21" t="s">
        <v>67</v>
      </c>
    </row>
    <row r="117" spans="2:8" ht="13.8">
      <c r="B117" s="22" t="s">
        <v>181</v>
      </c>
      <c r="C117" s="21" t="s">
        <v>19</v>
      </c>
      <c r="D117" s="50">
        <v>4</v>
      </c>
      <c r="E117" s="24" t="s">
        <v>303</v>
      </c>
      <c r="F117" s="21">
        <v>3</v>
      </c>
      <c r="G117" s="21">
        <v>5</v>
      </c>
      <c r="H117" s="21" t="s">
        <v>67</v>
      </c>
    </row>
    <row r="118" spans="2:8" ht="13.8">
      <c r="B118" s="22" t="s">
        <v>182</v>
      </c>
      <c r="C118" s="21" t="s">
        <v>19</v>
      </c>
      <c r="D118" s="50">
        <v>4</v>
      </c>
      <c r="E118" s="24" t="s">
        <v>303</v>
      </c>
      <c r="F118" s="21">
        <v>3</v>
      </c>
      <c r="G118" s="21">
        <v>5</v>
      </c>
      <c r="H118" s="21" t="s">
        <v>67</v>
      </c>
    </row>
    <row r="119" spans="2:8" ht="13.8">
      <c r="B119" s="22" t="s">
        <v>183</v>
      </c>
      <c r="C119" s="21" t="s">
        <v>19</v>
      </c>
      <c r="D119" s="50">
        <v>4</v>
      </c>
      <c r="E119" s="24" t="s">
        <v>303</v>
      </c>
      <c r="F119" s="21">
        <v>3</v>
      </c>
      <c r="G119" s="21">
        <v>5</v>
      </c>
      <c r="H119" s="21" t="s">
        <v>67</v>
      </c>
    </row>
    <row r="120" spans="2:8" ht="13.8">
      <c r="B120" s="22" t="s">
        <v>184</v>
      </c>
      <c r="C120" s="21" t="s">
        <v>19</v>
      </c>
      <c r="D120" s="50">
        <v>4</v>
      </c>
      <c r="E120" s="24" t="s">
        <v>303</v>
      </c>
      <c r="F120" s="21">
        <v>3</v>
      </c>
      <c r="G120" s="21">
        <v>5</v>
      </c>
      <c r="H120" s="21" t="s">
        <v>67</v>
      </c>
    </row>
    <row r="121" spans="2:8" ht="13.8">
      <c r="B121" s="22" t="s">
        <v>185</v>
      </c>
      <c r="C121" s="21" t="s">
        <v>37</v>
      </c>
      <c r="D121" s="50">
        <v>4</v>
      </c>
      <c r="E121" s="24" t="s">
        <v>303</v>
      </c>
      <c r="F121" s="21">
        <v>3</v>
      </c>
      <c r="G121" s="21">
        <v>5</v>
      </c>
      <c r="H121" s="21" t="s">
        <v>67</v>
      </c>
    </row>
    <row r="122" spans="2:8" ht="13.8">
      <c r="B122" s="22" t="s">
        <v>186</v>
      </c>
      <c r="C122" s="21" t="s">
        <v>37</v>
      </c>
      <c r="D122" s="50">
        <v>4</v>
      </c>
      <c r="E122" s="24" t="s">
        <v>303</v>
      </c>
      <c r="F122" s="21">
        <v>3</v>
      </c>
      <c r="G122" s="21">
        <v>5</v>
      </c>
      <c r="H122" s="21" t="s">
        <v>67</v>
      </c>
    </row>
    <row r="123" spans="2:8" ht="13.8">
      <c r="B123" s="22" t="s">
        <v>187</v>
      </c>
      <c r="C123" s="21" t="s">
        <v>37</v>
      </c>
      <c r="D123" s="50">
        <v>4</v>
      </c>
      <c r="E123" s="24" t="s">
        <v>303</v>
      </c>
      <c r="F123" s="21">
        <v>3</v>
      </c>
      <c r="G123" s="21">
        <v>5</v>
      </c>
      <c r="H123" s="21" t="s">
        <v>67</v>
      </c>
    </row>
    <row r="124" spans="2:8" ht="13.8">
      <c r="B124" s="22" t="s">
        <v>188</v>
      </c>
      <c r="C124" s="21" t="s">
        <v>37</v>
      </c>
      <c r="D124" s="50">
        <v>4</v>
      </c>
      <c r="E124" s="24" t="s">
        <v>303</v>
      </c>
      <c r="F124" s="21">
        <v>3</v>
      </c>
      <c r="G124" s="21">
        <v>5</v>
      </c>
      <c r="H124" s="21" t="s">
        <v>67</v>
      </c>
    </row>
    <row r="125" spans="2:8" ht="13.8">
      <c r="B125" s="22" t="s">
        <v>189</v>
      </c>
      <c r="C125" s="21" t="s">
        <v>37</v>
      </c>
      <c r="D125" s="50">
        <v>4</v>
      </c>
      <c r="E125" s="24" t="s">
        <v>303</v>
      </c>
      <c r="F125" s="21">
        <v>3</v>
      </c>
      <c r="G125" s="21">
        <v>5</v>
      </c>
      <c r="H125" s="21" t="s">
        <v>67</v>
      </c>
    </row>
    <row r="126" spans="2:8" ht="13.8">
      <c r="B126" s="22" t="s">
        <v>190</v>
      </c>
      <c r="C126" s="21" t="s">
        <v>37</v>
      </c>
      <c r="D126" s="50">
        <v>4</v>
      </c>
      <c r="E126" s="24" t="s">
        <v>303</v>
      </c>
      <c r="F126" s="21">
        <v>3</v>
      </c>
      <c r="G126" s="21">
        <v>5</v>
      </c>
      <c r="H126" s="21" t="s">
        <v>67</v>
      </c>
    </row>
    <row r="127" spans="2:8" ht="13.8">
      <c r="B127" s="22" t="s">
        <v>191</v>
      </c>
      <c r="C127" s="21" t="s">
        <v>37</v>
      </c>
      <c r="D127" s="50">
        <v>4</v>
      </c>
      <c r="E127" s="24" t="s">
        <v>303</v>
      </c>
      <c r="F127" s="21">
        <v>3</v>
      </c>
      <c r="G127" s="21">
        <v>5</v>
      </c>
      <c r="H127" s="21" t="s">
        <v>67</v>
      </c>
    </row>
    <row r="128" spans="2:8" ht="13.8">
      <c r="B128" s="22" t="s">
        <v>192</v>
      </c>
      <c r="C128" s="21" t="s">
        <v>37</v>
      </c>
      <c r="D128" s="50">
        <v>4</v>
      </c>
      <c r="E128" s="24" t="s">
        <v>303</v>
      </c>
      <c r="F128" s="21">
        <v>3</v>
      </c>
      <c r="G128" s="21">
        <v>5</v>
      </c>
      <c r="H128" s="21" t="s">
        <v>67</v>
      </c>
    </row>
    <row r="129" spans="2:8" ht="13.8">
      <c r="B129" s="22" t="s">
        <v>193</v>
      </c>
      <c r="C129" s="21" t="s">
        <v>37</v>
      </c>
      <c r="D129" s="50">
        <v>4</v>
      </c>
      <c r="E129" s="24" t="s">
        <v>303</v>
      </c>
      <c r="F129" s="21">
        <v>3</v>
      </c>
      <c r="G129" s="21">
        <v>5</v>
      </c>
      <c r="H129" s="21" t="s">
        <v>67</v>
      </c>
    </row>
    <row r="130" spans="2:8" ht="13.8">
      <c r="B130" s="22" t="s">
        <v>194</v>
      </c>
      <c r="C130" s="21" t="s">
        <v>37</v>
      </c>
      <c r="D130" s="50">
        <v>4</v>
      </c>
      <c r="E130" s="24" t="s">
        <v>303</v>
      </c>
      <c r="F130" s="21">
        <v>3</v>
      </c>
      <c r="G130" s="21">
        <v>5</v>
      </c>
      <c r="H130" s="21" t="s">
        <v>67</v>
      </c>
    </row>
    <row r="131" spans="2:8" ht="13.8">
      <c r="B131" s="22" t="s">
        <v>195</v>
      </c>
      <c r="C131" s="21" t="s">
        <v>37</v>
      </c>
      <c r="D131" s="50">
        <v>4</v>
      </c>
      <c r="E131" s="24" t="s">
        <v>303</v>
      </c>
      <c r="F131" s="21">
        <v>3</v>
      </c>
      <c r="G131" s="21">
        <v>5</v>
      </c>
      <c r="H131" s="21" t="s">
        <v>67</v>
      </c>
    </row>
    <row r="132" spans="2:8" ht="13.8">
      <c r="B132" s="22" t="s">
        <v>196</v>
      </c>
      <c r="C132" s="21" t="s">
        <v>37</v>
      </c>
      <c r="D132" s="50">
        <v>4</v>
      </c>
      <c r="E132" s="24" t="s">
        <v>303</v>
      </c>
      <c r="F132" s="21">
        <v>3</v>
      </c>
      <c r="G132" s="21">
        <v>5</v>
      </c>
      <c r="H132" s="21" t="s">
        <v>67</v>
      </c>
    </row>
    <row r="133" spans="2:8" ht="13.8">
      <c r="B133" s="22" t="s">
        <v>197</v>
      </c>
      <c r="C133" s="21" t="s">
        <v>37</v>
      </c>
      <c r="D133" s="50">
        <v>4</v>
      </c>
      <c r="E133" s="24" t="s">
        <v>303</v>
      </c>
      <c r="F133" s="21">
        <v>3</v>
      </c>
      <c r="G133" s="21">
        <v>5</v>
      </c>
      <c r="H133" s="21" t="s">
        <v>67</v>
      </c>
    </row>
    <row r="134" spans="2:8" ht="13.8">
      <c r="B134" s="22" t="s">
        <v>198</v>
      </c>
      <c r="C134" s="21" t="s">
        <v>37</v>
      </c>
      <c r="D134" s="50">
        <v>4</v>
      </c>
      <c r="E134" s="24" t="s">
        <v>303</v>
      </c>
      <c r="F134" s="21">
        <v>3</v>
      </c>
      <c r="G134" s="21">
        <v>5</v>
      </c>
      <c r="H134" s="21" t="s">
        <v>67</v>
      </c>
    </row>
    <row r="135" spans="2:8" ht="13.8">
      <c r="B135" s="22" t="s">
        <v>199</v>
      </c>
      <c r="C135" s="21" t="s">
        <v>37</v>
      </c>
      <c r="D135" s="50">
        <v>4</v>
      </c>
      <c r="E135" s="24" t="s">
        <v>303</v>
      </c>
      <c r="F135" s="21">
        <v>3</v>
      </c>
      <c r="G135" s="21">
        <v>5</v>
      </c>
      <c r="H135" s="21" t="s">
        <v>67</v>
      </c>
    </row>
    <row r="136" spans="2:8" ht="13.8">
      <c r="B136" s="22" t="s">
        <v>200</v>
      </c>
      <c r="C136" s="21" t="s">
        <v>37</v>
      </c>
      <c r="D136" s="50">
        <v>4</v>
      </c>
      <c r="E136" s="24" t="s">
        <v>303</v>
      </c>
      <c r="F136" s="21">
        <v>3</v>
      </c>
      <c r="G136" s="21">
        <v>5</v>
      </c>
      <c r="H136" s="21" t="s">
        <v>67</v>
      </c>
    </row>
    <row r="137" spans="2:8" ht="13.8">
      <c r="B137" s="22" t="s">
        <v>201</v>
      </c>
      <c r="C137" s="21" t="s">
        <v>38</v>
      </c>
      <c r="D137" s="50">
        <v>4</v>
      </c>
      <c r="E137" s="24" t="s">
        <v>303</v>
      </c>
      <c r="F137" s="21">
        <v>3</v>
      </c>
      <c r="G137" s="21">
        <v>5</v>
      </c>
      <c r="H137" s="21" t="s">
        <v>67</v>
      </c>
    </row>
    <row r="138" spans="2:8" ht="13.8">
      <c r="B138" s="22" t="s">
        <v>202</v>
      </c>
      <c r="C138" s="21" t="s">
        <v>38</v>
      </c>
      <c r="D138" s="50">
        <v>4</v>
      </c>
      <c r="E138" s="24" t="s">
        <v>303</v>
      </c>
      <c r="F138" s="21">
        <v>3</v>
      </c>
      <c r="G138" s="21">
        <v>5</v>
      </c>
      <c r="H138" s="21" t="s">
        <v>67</v>
      </c>
    </row>
    <row r="139" spans="2:8" ht="13.8">
      <c r="B139" s="22" t="s">
        <v>203</v>
      </c>
      <c r="C139" s="21" t="s">
        <v>38</v>
      </c>
      <c r="D139" s="50">
        <v>4</v>
      </c>
      <c r="E139" s="24" t="s">
        <v>303</v>
      </c>
      <c r="F139" s="21">
        <v>3</v>
      </c>
      <c r="G139" s="21">
        <v>5</v>
      </c>
      <c r="H139" s="21" t="s">
        <v>67</v>
      </c>
    </row>
    <row r="140" spans="2:8" ht="13.8">
      <c r="B140" s="22" t="s">
        <v>204</v>
      </c>
      <c r="C140" s="21" t="s">
        <v>38</v>
      </c>
      <c r="D140" s="50">
        <v>4</v>
      </c>
      <c r="E140" s="24" t="s">
        <v>303</v>
      </c>
      <c r="F140" s="21">
        <v>3</v>
      </c>
      <c r="G140" s="21">
        <v>5</v>
      </c>
      <c r="H140" s="21" t="s">
        <v>67</v>
      </c>
    </row>
    <row r="141" spans="2:8" ht="13.8">
      <c r="B141" s="22" t="s">
        <v>205</v>
      </c>
      <c r="C141" s="21" t="s">
        <v>38</v>
      </c>
      <c r="D141" s="50">
        <v>4</v>
      </c>
      <c r="E141" s="24" t="s">
        <v>303</v>
      </c>
      <c r="F141" s="21">
        <v>3</v>
      </c>
      <c r="G141" s="21">
        <v>5</v>
      </c>
      <c r="H141" s="21" t="s">
        <v>67</v>
      </c>
    </row>
    <row r="142" spans="2:8" ht="13.8">
      <c r="B142" s="22" t="s">
        <v>206</v>
      </c>
      <c r="C142" s="21" t="s">
        <v>38</v>
      </c>
      <c r="D142" s="50">
        <v>4</v>
      </c>
      <c r="E142" s="24" t="s">
        <v>303</v>
      </c>
      <c r="F142" s="21">
        <v>3</v>
      </c>
      <c r="G142" s="21">
        <v>5</v>
      </c>
      <c r="H142" s="21" t="s">
        <v>67</v>
      </c>
    </row>
    <row r="143" spans="2:8" ht="13.8">
      <c r="B143" s="22" t="s">
        <v>207</v>
      </c>
      <c r="C143" s="21" t="s">
        <v>38</v>
      </c>
      <c r="D143" s="50">
        <v>4</v>
      </c>
      <c r="E143" s="24" t="s">
        <v>303</v>
      </c>
      <c r="F143" s="21">
        <v>3</v>
      </c>
      <c r="G143" s="21">
        <v>5</v>
      </c>
      <c r="H143" s="21" t="s">
        <v>67</v>
      </c>
    </row>
    <row r="144" spans="2:8" ht="13.8">
      <c r="B144" s="22" t="s">
        <v>208</v>
      </c>
      <c r="C144" s="21" t="s">
        <v>38</v>
      </c>
      <c r="D144" s="50">
        <v>4</v>
      </c>
      <c r="E144" s="24" t="s">
        <v>303</v>
      </c>
      <c r="F144" s="21">
        <v>3</v>
      </c>
      <c r="G144" s="21">
        <v>5</v>
      </c>
      <c r="H144" s="21" t="s">
        <v>67</v>
      </c>
    </row>
    <row r="145" spans="2:8" ht="13.8">
      <c r="B145" s="22" t="s">
        <v>209</v>
      </c>
      <c r="C145" s="21" t="s">
        <v>19</v>
      </c>
      <c r="D145" s="50">
        <v>4</v>
      </c>
      <c r="E145" s="24" t="s">
        <v>303</v>
      </c>
      <c r="F145" s="21">
        <v>3</v>
      </c>
      <c r="G145" s="21">
        <v>5</v>
      </c>
      <c r="H145" s="21" t="s">
        <v>67</v>
      </c>
    </row>
    <row r="146" spans="2:8" ht="13.8">
      <c r="B146" s="22" t="s">
        <v>210</v>
      </c>
      <c r="C146" s="21" t="s">
        <v>37</v>
      </c>
      <c r="D146" s="50">
        <v>4</v>
      </c>
      <c r="E146" s="24" t="s">
        <v>303</v>
      </c>
      <c r="F146" s="21">
        <v>3</v>
      </c>
      <c r="G146" s="21">
        <v>5</v>
      </c>
      <c r="H146" s="21" t="s">
        <v>67</v>
      </c>
    </row>
    <row r="147" spans="2:8" ht="13.8">
      <c r="B147" s="22" t="s">
        <v>211</v>
      </c>
      <c r="C147" s="21" t="s">
        <v>38</v>
      </c>
      <c r="D147" s="50">
        <v>4</v>
      </c>
      <c r="E147" s="24" t="s">
        <v>303</v>
      </c>
      <c r="F147" s="21">
        <v>3</v>
      </c>
      <c r="G147" s="21">
        <v>5</v>
      </c>
      <c r="H147" s="21" t="s">
        <v>67</v>
      </c>
    </row>
    <row r="148" spans="2:8" ht="13.8">
      <c r="B148" s="22" t="s">
        <v>213</v>
      </c>
      <c r="C148" s="21" t="s">
        <v>19</v>
      </c>
      <c r="D148" s="50">
        <v>3</v>
      </c>
      <c r="E148" s="23" t="s">
        <v>214</v>
      </c>
      <c r="F148" s="21">
        <v>2</v>
      </c>
      <c r="G148" s="21">
        <v>4</v>
      </c>
      <c r="H148" s="21" t="s">
        <v>148</v>
      </c>
    </row>
    <row r="149" spans="2:8" ht="13.8">
      <c r="B149" s="22" t="s">
        <v>215</v>
      </c>
      <c r="C149" s="21" t="s">
        <v>19</v>
      </c>
      <c r="D149" s="50">
        <v>3</v>
      </c>
      <c r="E149" s="23" t="s">
        <v>214</v>
      </c>
      <c r="F149" s="21">
        <v>2</v>
      </c>
      <c r="G149" s="21">
        <v>4</v>
      </c>
      <c r="H149" s="21" t="s">
        <v>148</v>
      </c>
    </row>
    <row r="150" spans="2:8" ht="13.8">
      <c r="B150" s="22" t="s">
        <v>216</v>
      </c>
      <c r="C150" s="21" t="s">
        <v>37</v>
      </c>
      <c r="D150" s="50">
        <v>3</v>
      </c>
      <c r="E150" s="23" t="s">
        <v>214</v>
      </c>
      <c r="F150" s="21">
        <v>2</v>
      </c>
      <c r="G150" s="21">
        <v>4</v>
      </c>
      <c r="H150" s="21" t="s">
        <v>148</v>
      </c>
    </row>
    <row r="151" spans="2:8" ht="13.8">
      <c r="B151" s="22" t="s">
        <v>217</v>
      </c>
      <c r="C151" s="21" t="s">
        <v>37</v>
      </c>
      <c r="D151" s="50">
        <v>3</v>
      </c>
      <c r="E151" s="23" t="s">
        <v>214</v>
      </c>
      <c r="F151" s="21">
        <v>2</v>
      </c>
      <c r="G151" s="21">
        <v>4</v>
      </c>
      <c r="H151" s="21" t="s">
        <v>148</v>
      </c>
    </row>
    <row r="152" spans="2:8" ht="13.8">
      <c r="B152" s="22" t="s">
        <v>218</v>
      </c>
      <c r="C152" s="21" t="s">
        <v>37</v>
      </c>
      <c r="D152" s="50">
        <v>3</v>
      </c>
      <c r="E152" s="23" t="s">
        <v>214</v>
      </c>
      <c r="F152" s="21">
        <v>2</v>
      </c>
      <c r="G152" s="21">
        <v>4</v>
      </c>
      <c r="H152" s="21" t="s">
        <v>148</v>
      </c>
    </row>
    <row r="153" spans="2:8" ht="13.8">
      <c r="B153" s="22" t="s">
        <v>219</v>
      </c>
      <c r="C153" s="21" t="s">
        <v>37</v>
      </c>
      <c r="D153" s="50">
        <v>3</v>
      </c>
      <c r="E153" s="23" t="s">
        <v>214</v>
      </c>
      <c r="F153" s="21">
        <v>2</v>
      </c>
      <c r="G153" s="21">
        <v>4</v>
      </c>
      <c r="H153" s="21" t="s">
        <v>148</v>
      </c>
    </row>
    <row r="154" spans="2:8" ht="13.8">
      <c r="B154" s="22" t="s">
        <v>220</v>
      </c>
      <c r="C154" s="21" t="s">
        <v>37</v>
      </c>
      <c r="D154" s="50">
        <v>3</v>
      </c>
      <c r="E154" s="23" t="s">
        <v>214</v>
      </c>
      <c r="F154" s="21">
        <v>2</v>
      </c>
      <c r="G154" s="21">
        <v>4</v>
      </c>
      <c r="H154" s="21" t="s">
        <v>148</v>
      </c>
    </row>
    <row r="155" spans="2:8" ht="13.8">
      <c r="B155" s="22" t="s">
        <v>221</v>
      </c>
      <c r="C155" s="21" t="s">
        <v>37</v>
      </c>
      <c r="D155" s="50">
        <v>3</v>
      </c>
      <c r="E155" s="23" t="s">
        <v>214</v>
      </c>
      <c r="F155" s="21">
        <v>2</v>
      </c>
      <c r="G155" s="21">
        <v>4</v>
      </c>
      <c r="H155" s="21" t="s">
        <v>148</v>
      </c>
    </row>
    <row r="156" spans="2:8" ht="13.8">
      <c r="B156" s="22" t="s">
        <v>222</v>
      </c>
      <c r="C156" s="21" t="s">
        <v>38</v>
      </c>
      <c r="D156" s="50">
        <v>3</v>
      </c>
      <c r="E156" s="23" t="s">
        <v>214</v>
      </c>
      <c r="F156" s="21">
        <v>2</v>
      </c>
      <c r="G156" s="21">
        <v>4</v>
      </c>
      <c r="H156" s="21" t="s">
        <v>148</v>
      </c>
    </row>
    <row r="157" spans="2:8" ht="13.8">
      <c r="B157" s="22" t="s">
        <v>223</v>
      </c>
      <c r="C157" s="21" t="s">
        <v>38</v>
      </c>
      <c r="D157" s="50">
        <v>3</v>
      </c>
      <c r="E157" s="23" t="s">
        <v>214</v>
      </c>
      <c r="F157" s="21">
        <v>2</v>
      </c>
      <c r="G157" s="21">
        <v>4</v>
      </c>
      <c r="H157" s="21" t="s">
        <v>148</v>
      </c>
    </row>
    <row r="158" spans="2:8" ht="13.8">
      <c r="B158" s="22" t="s">
        <v>224</v>
      </c>
      <c r="C158" s="21" t="s">
        <v>37</v>
      </c>
      <c r="D158" s="50">
        <v>4</v>
      </c>
      <c r="E158" s="24" t="s">
        <v>303</v>
      </c>
      <c r="F158" s="21">
        <v>3</v>
      </c>
      <c r="G158" s="21">
        <v>5</v>
      </c>
      <c r="H158" s="21" t="s">
        <v>67</v>
      </c>
    </row>
    <row r="159" spans="2:8" ht="13.8">
      <c r="B159" s="22" t="s">
        <v>225</v>
      </c>
      <c r="C159" s="21" t="s">
        <v>37</v>
      </c>
      <c r="D159" s="50">
        <v>4</v>
      </c>
      <c r="E159" s="24" t="s">
        <v>303</v>
      </c>
      <c r="F159" s="21">
        <v>3</v>
      </c>
      <c r="G159" s="21">
        <v>5</v>
      </c>
      <c r="H159" s="21" t="s">
        <v>67</v>
      </c>
    </row>
    <row r="160" spans="2:8" ht="13.8">
      <c r="B160" s="22" t="s">
        <v>226</v>
      </c>
      <c r="C160" s="21" t="s">
        <v>37</v>
      </c>
      <c r="D160" s="50">
        <v>4</v>
      </c>
      <c r="E160" s="24" t="s">
        <v>303</v>
      </c>
      <c r="F160" s="21">
        <v>3</v>
      </c>
      <c r="G160" s="21">
        <v>5</v>
      </c>
      <c r="H160" s="21" t="s">
        <v>67</v>
      </c>
    </row>
    <row r="161" spans="2:8" ht="13.8">
      <c r="B161" s="22" t="s">
        <v>227</v>
      </c>
      <c r="C161" s="21" t="s">
        <v>37</v>
      </c>
      <c r="D161" s="50">
        <v>4</v>
      </c>
      <c r="E161" s="24" t="s">
        <v>303</v>
      </c>
      <c r="F161" s="21">
        <v>3</v>
      </c>
      <c r="G161" s="21">
        <v>5</v>
      </c>
      <c r="H161" s="21" t="s">
        <v>67</v>
      </c>
    </row>
    <row r="162" spans="2:8" ht="13.8">
      <c r="B162" s="22" t="s">
        <v>228</v>
      </c>
      <c r="C162" s="21" t="s">
        <v>37</v>
      </c>
      <c r="D162" s="50">
        <v>4</v>
      </c>
      <c r="E162" s="24" t="s">
        <v>303</v>
      </c>
      <c r="F162" s="21">
        <v>3</v>
      </c>
      <c r="G162" s="21">
        <v>5</v>
      </c>
      <c r="H162" s="21" t="s">
        <v>67</v>
      </c>
    </row>
    <row r="163" spans="2:8" ht="13.8">
      <c r="B163" s="22" t="s">
        <v>229</v>
      </c>
      <c r="C163" s="21" t="s">
        <v>37</v>
      </c>
      <c r="D163" s="50">
        <v>4</v>
      </c>
      <c r="E163" s="24" t="s">
        <v>303</v>
      </c>
      <c r="F163" s="21">
        <v>3</v>
      </c>
      <c r="G163" s="21">
        <v>5</v>
      </c>
      <c r="H163" s="21" t="s">
        <v>67</v>
      </c>
    </row>
    <row r="164" spans="2:8" ht="13.8">
      <c r="B164" s="22" t="s">
        <v>230</v>
      </c>
      <c r="C164" s="21" t="s">
        <v>37</v>
      </c>
      <c r="D164" s="50">
        <v>4</v>
      </c>
      <c r="E164" s="24" t="s">
        <v>303</v>
      </c>
      <c r="F164" s="21">
        <v>3</v>
      </c>
      <c r="G164" s="21">
        <v>5</v>
      </c>
      <c r="H164" s="21" t="s">
        <v>67</v>
      </c>
    </row>
    <row r="165" spans="2:8" ht="13.8">
      <c r="B165" s="22" t="s">
        <v>231</v>
      </c>
      <c r="C165" s="21" t="s">
        <v>37</v>
      </c>
      <c r="D165" s="50">
        <v>4</v>
      </c>
      <c r="E165" s="24" t="s">
        <v>303</v>
      </c>
      <c r="F165" s="21">
        <v>3</v>
      </c>
      <c r="G165" s="21">
        <v>5</v>
      </c>
      <c r="H165" s="21" t="s">
        <v>67</v>
      </c>
    </row>
    <row r="166" spans="2:8" ht="13.8">
      <c r="B166" s="22" t="s">
        <v>232</v>
      </c>
      <c r="C166" s="21" t="s">
        <v>37</v>
      </c>
      <c r="D166" s="50">
        <v>4</v>
      </c>
      <c r="E166" s="24" t="s">
        <v>303</v>
      </c>
      <c r="F166" s="21">
        <v>3</v>
      </c>
      <c r="G166" s="21">
        <v>5</v>
      </c>
      <c r="H166" s="21" t="s">
        <v>67</v>
      </c>
    </row>
    <row r="167" spans="2:8" ht="13.8">
      <c r="B167" s="22" t="s">
        <v>233</v>
      </c>
      <c r="C167" s="21" t="s">
        <v>37</v>
      </c>
      <c r="D167" s="50">
        <v>4</v>
      </c>
      <c r="E167" s="24" t="s">
        <v>303</v>
      </c>
      <c r="F167" s="21">
        <v>3</v>
      </c>
      <c r="G167" s="21">
        <v>5</v>
      </c>
      <c r="H167" s="21" t="s">
        <v>67</v>
      </c>
    </row>
    <row r="168" spans="2:8" ht="13.8">
      <c r="B168" s="22" t="s">
        <v>234</v>
      </c>
      <c r="C168" s="21" t="s">
        <v>38</v>
      </c>
      <c r="D168" s="50">
        <v>4</v>
      </c>
      <c r="E168" s="24" t="s">
        <v>303</v>
      </c>
      <c r="F168" s="21">
        <v>3</v>
      </c>
      <c r="G168" s="21">
        <v>5</v>
      </c>
      <c r="H168" s="21" t="s">
        <v>67</v>
      </c>
    </row>
    <row r="169" spans="2:8" ht="13.8">
      <c r="B169" s="22" t="s">
        <v>235</v>
      </c>
      <c r="C169" s="21" t="s">
        <v>38</v>
      </c>
      <c r="D169" s="50">
        <v>4</v>
      </c>
      <c r="E169" s="24" t="s">
        <v>303</v>
      </c>
      <c r="F169" s="21">
        <v>3</v>
      </c>
      <c r="G169" s="21">
        <v>5</v>
      </c>
      <c r="H169" s="21" t="s">
        <v>67</v>
      </c>
    </row>
    <row r="170" spans="2:8" ht="13.8">
      <c r="B170" s="22" t="s">
        <v>236</v>
      </c>
      <c r="C170" s="21" t="s">
        <v>38</v>
      </c>
      <c r="D170" s="50">
        <v>4</v>
      </c>
      <c r="E170" s="24" t="s">
        <v>303</v>
      </c>
      <c r="F170" s="21">
        <v>3</v>
      </c>
      <c r="G170" s="21">
        <v>5</v>
      </c>
      <c r="H170" s="21" t="s">
        <v>67</v>
      </c>
    </row>
    <row r="171" spans="2:8" ht="13.8">
      <c r="B171" s="22" t="s">
        <v>237</v>
      </c>
      <c r="C171" s="21" t="s">
        <v>38</v>
      </c>
      <c r="D171" s="50">
        <v>4</v>
      </c>
      <c r="E171" s="24" t="s">
        <v>303</v>
      </c>
      <c r="F171" s="21">
        <v>3</v>
      </c>
      <c r="G171" s="21">
        <v>5</v>
      </c>
      <c r="H171" s="21" t="s">
        <v>67</v>
      </c>
    </row>
    <row r="172" spans="2:8" ht="13.8">
      <c r="B172" s="22" t="s">
        <v>238</v>
      </c>
      <c r="C172" s="21" t="s">
        <v>37</v>
      </c>
      <c r="D172" s="50">
        <v>4</v>
      </c>
      <c r="E172" s="24" t="s">
        <v>303</v>
      </c>
      <c r="F172" s="21">
        <v>3</v>
      </c>
      <c r="G172" s="21">
        <v>5</v>
      </c>
      <c r="H172" s="21" t="s">
        <v>67</v>
      </c>
    </row>
    <row r="173" spans="2:8" ht="13.8">
      <c r="B173" s="22" t="s">
        <v>239</v>
      </c>
      <c r="C173" s="21" t="s">
        <v>37</v>
      </c>
      <c r="D173" s="50">
        <v>3</v>
      </c>
      <c r="E173" s="24" t="s">
        <v>303</v>
      </c>
      <c r="F173" s="21">
        <v>2</v>
      </c>
      <c r="G173" s="21">
        <v>4</v>
      </c>
      <c r="H173" s="21" t="s">
        <v>148</v>
      </c>
    </row>
    <row r="174" spans="2:8" ht="13.8">
      <c r="B174" s="22" t="s">
        <v>240</v>
      </c>
      <c r="C174" s="21" t="s">
        <v>37</v>
      </c>
      <c r="D174" s="50">
        <v>3</v>
      </c>
      <c r="E174" s="24" t="s">
        <v>303</v>
      </c>
      <c r="F174" s="21">
        <v>2</v>
      </c>
      <c r="G174" s="21">
        <v>4</v>
      </c>
      <c r="H174" s="21" t="s">
        <v>148</v>
      </c>
    </row>
    <row r="175" spans="2:8" ht="13.8">
      <c r="B175" s="22" t="s">
        <v>241</v>
      </c>
      <c r="C175" s="21" t="s">
        <v>37</v>
      </c>
      <c r="D175" s="50">
        <v>3</v>
      </c>
      <c r="E175" s="24" t="s">
        <v>303</v>
      </c>
      <c r="F175" s="21">
        <v>2</v>
      </c>
      <c r="G175" s="21">
        <v>4</v>
      </c>
      <c r="H175" s="21" t="s">
        <v>148</v>
      </c>
    </row>
    <row r="176" spans="2:8" ht="13.8">
      <c r="B176" s="22" t="s">
        <v>242</v>
      </c>
      <c r="C176" s="21" t="s">
        <v>37</v>
      </c>
      <c r="D176" s="50">
        <v>3</v>
      </c>
      <c r="E176" s="24" t="s">
        <v>303</v>
      </c>
      <c r="F176" s="21">
        <v>2</v>
      </c>
      <c r="G176" s="21">
        <v>4</v>
      </c>
      <c r="H176" s="21" t="s">
        <v>148</v>
      </c>
    </row>
    <row r="177" spans="2:8" ht="13.8">
      <c r="B177" s="22" t="s">
        <v>243</v>
      </c>
      <c r="C177" s="21" t="s">
        <v>37</v>
      </c>
      <c r="D177" s="50">
        <v>3</v>
      </c>
      <c r="E177" s="24" t="s">
        <v>303</v>
      </c>
      <c r="F177" s="21">
        <v>2</v>
      </c>
      <c r="G177" s="21">
        <v>4</v>
      </c>
      <c r="H177" s="21" t="s">
        <v>148</v>
      </c>
    </row>
    <row r="178" spans="2:8" ht="13.8">
      <c r="B178" s="22" t="s">
        <v>244</v>
      </c>
      <c r="C178" s="21" t="s">
        <v>37</v>
      </c>
      <c r="D178" s="50">
        <v>3</v>
      </c>
      <c r="E178" s="24" t="s">
        <v>303</v>
      </c>
      <c r="F178" s="21">
        <v>2</v>
      </c>
      <c r="G178" s="21">
        <v>4</v>
      </c>
      <c r="H178" s="21" t="s">
        <v>148</v>
      </c>
    </row>
    <row r="179" spans="2:8" ht="13.8">
      <c r="B179" s="22" t="s">
        <v>245</v>
      </c>
      <c r="C179" s="21" t="s">
        <v>37</v>
      </c>
      <c r="D179" s="50">
        <v>3</v>
      </c>
      <c r="E179" s="24" t="s">
        <v>303</v>
      </c>
      <c r="F179" s="21">
        <v>2</v>
      </c>
      <c r="G179" s="21">
        <v>4</v>
      </c>
      <c r="H179" s="21" t="s">
        <v>148</v>
      </c>
    </row>
    <row r="180" spans="2:8" ht="13.8">
      <c r="B180" s="22" t="s">
        <v>246</v>
      </c>
      <c r="C180" s="21" t="s">
        <v>37</v>
      </c>
      <c r="D180" s="50">
        <v>3</v>
      </c>
      <c r="E180" s="24" t="s">
        <v>303</v>
      </c>
      <c r="F180" s="21">
        <v>2</v>
      </c>
      <c r="G180" s="21">
        <v>4</v>
      </c>
      <c r="H180" s="21" t="s">
        <v>148</v>
      </c>
    </row>
    <row r="181" spans="2:8" ht="13.8">
      <c r="B181" s="22" t="s">
        <v>247</v>
      </c>
      <c r="C181" s="21" t="s">
        <v>37</v>
      </c>
      <c r="D181" s="50">
        <v>3</v>
      </c>
      <c r="E181" s="24" t="s">
        <v>303</v>
      </c>
      <c r="F181" s="21">
        <v>2</v>
      </c>
      <c r="G181" s="21">
        <v>4</v>
      </c>
      <c r="H181" s="21" t="s">
        <v>148</v>
      </c>
    </row>
    <row r="182" spans="2:8" ht="13.8">
      <c r="B182" s="22" t="s">
        <v>248</v>
      </c>
      <c r="C182" s="21" t="s">
        <v>37</v>
      </c>
      <c r="D182" s="50">
        <v>3</v>
      </c>
      <c r="E182" s="24" t="s">
        <v>303</v>
      </c>
      <c r="F182" s="21">
        <v>2</v>
      </c>
      <c r="G182" s="21">
        <v>4</v>
      </c>
      <c r="H182" s="21" t="s">
        <v>148</v>
      </c>
    </row>
    <row r="183" spans="2:8" ht="13.8">
      <c r="B183" s="22" t="s">
        <v>249</v>
      </c>
      <c r="C183" s="21" t="s">
        <v>38</v>
      </c>
      <c r="D183" s="50">
        <v>3</v>
      </c>
      <c r="E183" s="24" t="s">
        <v>303</v>
      </c>
      <c r="F183" s="21">
        <v>2</v>
      </c>
      <c r="G183" s="21">
        <v>4</v>
      </c>
      <c r="H183" s="21" t="s">
        <v>148</v>
      </c>
    </row>
    <row r="184" spans="2:8" ht="13.8">
      <c r="B184" s="22" t="s">
        <v>250</v>
      </c>
      <c r="C184" s="21" t="s">
        <v>38</v>
      </c>
      <c r="D184" s="50">
        <v>3</v>
      </c>
      <c r="E184" s="24" t="s">
        <v>303</v>
      </c>
      <c r="F184" s="21">
        <v>2</v>
      </c>
      <c r="G184" s="21">
        <v>4</v>
      </c>
      <c r="H184" s="21" t="s">
        <v>148</v>
      </c>
    </row>
    <row r="185" spans="2:8" ht="13.8">
      <c r="B185" s="22" t="s">
        <v>251</v>
      </c>
      <c r="C185" s="21" t="s">
        <v>38</v>
      </c>
      <c r="D185" s="50">
        <v>3</v>
      </c>
      <c r="E185" s="24" t="s">
        <v>303</v>
      </c>
      <c r="F185" s="21">
        <v>2</v>
      </c>
      <c r="G185" s="21">
        <v>4</v>
      </c>
      <c r="H185" s="21" t="s">
        <v>148</v>
      </c>
    </row>
    <row r="186" spans="2:8" ht="13.8">
      <c r="B186" s="22" t="s">
        <v>252</v>
      </c>
      <c r="C186" s="21" t="s">
        <v>37</v>
      </c>
      <c r="D186" s="50">
        <v>3</v>
      </c>
      <c r="E186" s="24" t="s">
        <v>303</v>
      </c>
      <c r="F186" s="21">
        <v>2</v>
      </c>
      <c r="G186" s="21">
        <v>4</v>
      </c>
      <c r="H186" s="21" t="s">
        <v>148</v>
      </c>
    </row>
    <row r="187" spans="2:8" ht="13.8">
      <c r="B187" s="22" t="s">
        <v>253</v>
      </c>
      <c r="C187" s="21" t="s">
        <v>37</v>
      </c>
      <c r="D187" s="50">
        <v>3</v>
      </c>
      <c r="E187" s="24" t="s">
        <v>303</v>
      </c>
      <c r="F187" s="21">
        <v>2</v>
      </c>
      <c r="G187" s="21">
        <v>4</v>
      </c>
      <c r="H187" s="21" t="s">
        <v>148</v>
      </c>
    </row>
    <row r="188" spans="2:8" ht="13.8">
      <c r="B188" s="22" t="s">
        <v>254</v>
      </c>
      <c r="C188" s="21" t="s">
        <v>37</v>
      </c>
      <c r="D188" s="50">
        <v>3</v>
      </c>
      <c r="E188" s="24" t="s">
        <v>303</v>
      </c>
      <c r="F188" s="21">
        <v>2</v>
      </c>
      <c r="G188" s="21">
        <v>4</v>
      </c>
      <c r="H188" s="21" t="s">
        <v>148</v>
      </c>
    </row>
    <row r="189" spans="2:8" ht="13.8">
      <c r="B189" s="22" t="s">
        <v>255</v>
      </c>
      <c r="C189" s="21" t="s">
        <v>37</v>
      </c>
      <c r="D189" s="50">
        <v>3</v>
      </c>
      <c r="E189" s="24" t="s">
        <v>303</v>
      </c>
      <c r="F189" s="21">
        <v>2</v>
      </c>
      <c r="G189" s="21">
        <v>4</v>
      </c>
      <c r="H189" s="21" t="s">
        <v>148</v>
      </c>
    </row>
    <row r="190" spans="2:8" ht="13.8">
      <c r="B190" s="22" t="s">
        <v>256</v>
      </c>
      <c r="C190" s="21" t="s">
        <v>37</v>
      </c>
      <c r="D190" s="50">
        <v>3</v>
      </c>
      <c r="E190" s="24" t="s">
        <v>303</v>
      </c>
      <c r="F190" s="21">
        <v>2</v>
      </c>
      <c r="G190" s="21">
        <v>4</v>
      </c>
      <c r="H190" s="21" t="s">
        <v>148</v>
      </c>
    </row>
    <row r="191" spans="2:8" ht="13.8">
      <c r="B191" s="22" t="s">
        <v>257</v>
      </c>
      <c r="C191" s="21" t="s">
        <v>37</v>
      </c>
      <c r="D191" s="50">
        <v>3</v>
      </c>
      <c r="E191" s="24" t="s">
        <v>303</v>
      </c>
      <c r="F191" s="21">
        <v>2</v>
      </c>
      <c r="G191" s="21">
        <v>4</v>
      </c>
      <c r="H191" s="21" t="s">
        <v>148</v>
      </c>
    </row>
    <row r="192" spans="2:8" ht="13.8">
      <c r="B192" s="22" t="s">
        <v>258</v>
      </c>
      <c r="C192" s="21" t="s">
        <v>37</v>
      </c>
      <c r="D192" s="50">
        <v>3</v>
      </c>
      <c r="E192" s="24" t="s">
        <v>303</v>
      </c>
      <c r="F192" s="21">
        <v>2</v>
      </c>
      <c r="G192" s="21">
        <v>4</v>
      </c>
      <c r="H192" s="21" t="s">
        <v>148</v>
      </c>
    </row>
    <row r="193" spans="2:8" ht="13.8">
      <c r="B193" s="22" t="s">
        <v>259</v>
      </c>
      <c r="C193" s="21" t="s">
        <v>37</v>
      </c>
      <c r="D193" s="50">
        <v>3</v>
      </c>
      <c r="E193" s="24" t="s">
        <v>303</v>
      </c>
      <c r="F193" s="21">
        <v>2</v>
      </c>
      <c r="G193" s="21">
        <v>4</v>
      </c>
      <c r="H193" s="21" t="s">
        <v>148</v>
      </c>
    </row>
    <row r="194" spans="2:8" ht="13.8">
      <c r="B194" s="22" t="s">
        <v>260</v>
      </c>
      <c r="C194" s="21" t="s">
        <v>37</v>
      </c>
      <c r="D194" s="50">
        <v>3</v>
      </c>
      <c r="E194" s="24" t="s">
        <v>303</v>
      </c>
      <c r="F194" s="21">
        <v>2</v>
      </c>
      <c r="G194" s="21">
        <v>4</v>
      </c>
      <c r="H194" s="21" t="s">
        <v>148</v>
      </c>
    </row>
    <row r="195" spans="2:8" ht="13.8">
      <c r="B195" s="22" t="s">
        <v>261</v>
      </c>
      <c r="C195" s="21" t="s">
        <v>37</v>
      </c>
      <c r="D195" s="50">
        <v>3</v>
      </c>
      <c r="E195" s="24" t="s">
        <v>303</v>
      </c>
      <c r="F195" s="21">
        <v>2</v>
      </c>
      <c r="G195" s="21">
        <v>4</v>
      </c>
      <c r="H195" s="21" t="s">
        <v>148</v>
      </c>
    </row>
    <row r="196" spans="2:8" ht="13.8">
      <c r="B196" s="22" t="s">
        <v>262</v>
      </c>
      <c r="C196" s="21" t="s">
        <v>37</v>
      </c>
      <c r="D196" s="50">
        <v>3</v>
      </c>
      <c r="E196" s="24" t="s">
        <v>303</v>
      </c>
      <c r="F196" s="21">
        <v>2</v>
      </c>
      <c r="G196" s="21">
        <v>4</v>
      </c>
      <c r="H196" s="21" t="s">
        <v>148</v>
      </c>
    </row>
    <row r="197" spans="2:8" ht="13.8">
      <c r="B197" s="22" t="s">
        <v>263</v>
      </c>
      <c r="C197" s="21" t="s">
        <v>37</v>
      </c>
      <c r="D197" s="50">
        <v>3</v>
      </c>
      <c r="E197" s="24" t="s">
        <v>303</v>
      </c>
      <c r="F197" s="21">
        <v>2</v>
      </c>
      <c r="G197" s="21">
        <v>4</v>
      </c>
      <c r="H197" s="21" t="s">
        <v>148</v>
      </c>
    </row>
    <row r="198" spans="2:8" ht="13.8">
      <c r="B198" s="22" t="s">
        <v>264</v>
      </c>
      <c r="C198" s="21" t="s">
        <v>37</v>
      </c>
      <c r="D198" s="50">
        <v>3</v>
      </c>
      <c r="E198" s="24" t="s">
        <v>303</v>
      </c>
      <c r="F198" s="21">
        <v>2</v>
      </c>
      <c r="G198" s="21">
        <v>4</v>
      </c>
      <c r="H198" s="21" t="s">
        <v>148</v>
      </c>
    </row>
    <row r="199" spans="2:8" ht="13.8">
      <c r="B199" s="22" t="s">
        <v>265</v>
      </c>
      <c r="C199" s="21" t="s">
        <v>37</v>
      </c>
      <c r="D199" s="50">
        <v>3</v>
      </c>
      <c r="E199" s="24" t="s">
        <v>303</v>
      </c>
      <c r="F199" s="21">
        <v>2</v>
      </c>
      <c r="G199" s="21">
        <v>4</v>
      </c>
      <c r="H199" s="21" t="s">
        <v>148</v>
      </c>
    </row>
    <row r="200" spans="2:8" ht="13.8">
      <c r="B200" s="22" t="s">
        <v>266</v>
      </c>
      <c r="C200" s="21" t="s">
        <v>37</v>
      </c>
      <c r="D200" s="50">
        <v>3</v>
      </c>
      <c r="E200" s="24" t="s">
        <v>303</v>
      </c>
      <c r="F200" s="21">
        <v>2</v>
      </c>
      <c r="G200" s="21">
        <v>4</v>
      </c>
      <c r="H200" s="21" t="s">
        <v>148</v>
      </c>
    </row>
    <row r="201" spans="2:8" ht="13.8">
      <c r="B201" s="22" t="s">
        <v>267</v>
      </c>
      <c r="C201" s="21" t="s">
        <v>37</v>
      </c>
      <c r="D201" s="50">
        <v>3</v>
      </c>
      <c r="E201" s="24" t="s">
        <v>303</v>
      </c>
      <c r="F201" s="21">
        <v>2</v>
      </c>
      <c r="G201" s="21">
        <v>4</v>
      </c>
      <c r="H201" s="21" t="s">
        <v>148</v>
      </c>
    </row>
    <row r="202" spans="2:8" ht="13.8">
      <c r="B202" s="22" t="s">
        <v>268</v>
      </c>
      <c r="C202" s="21" t="s">
        <v>37</v>
      </c>
      <c r="D202" s="50">
        <v>3</v>
      </c>
      <c r="E202" s="24" t="s">
        <v>303</v>
      </c>
      <c r="F202" s="21">
        <v>2</v>
      </c>
      <c r="G202" s="21">
        <v>4</v>
      </c>
      <c r="H202" s="21" t="s">
        <v>148</v>
      </c>
    </row>
    <row r="203" spans="2:8" ht="13.8">
      <c r="B203" s="22" t="s">
        <v>269</v>
      </c>
      <c r="C203" s="21" t="s">
        <v>37</v>
      </c>
      <c r="D203" s="50">
        <v>3</v>
      </c>
      <c r="E203" s="24" t="s">
        <v>303</v>
      </c>
      <c r="F203" s="21">
        <v>2</v>
      </c>
      <c r="G203" s="21">
        <v>4</v>
      </c>
      <c r="H203" s="21" t="s">
        <v>148</v>
      </c>
    </row>
    <row r="204" spans="2:8" ht="13.8">
      <c r="B204" s="22" t="s">
        <v>270</v>
      </c>
      <c r="C204" s="21" t="s">
        <v>37</v>
      </c>
      <c r="D204" s="50">
        <v>3</v>
      </c>
      <c r="E204" s="24" t="s">
        <v>303</v>
      </c>
      <c r="F204" s="21">
        <v>2</v>
      </c>
      <c r="G204" s="21">
        <v>4</v>
      </c>
      <c r="H204" s="21" t="s">
        <v>148</v>
      </c>
    </row>
    <row r="205" spans="2:8" ht="13.8">
      <c r="B205" s="22" t="s">
        <v>271</v>
      </c>
      <c r="C205" s="21" t="s">
        <v>37</v>
      </c>
      <c r="D205" s="50">
        <v>3</v>
      </c>
      <c r="E205" s="24" t="s">
        <v>303</v>
      </c>
      <c r="F205" s="21">
        <v>2</v>
      </c>
      <c r="G205" s="21">
        <v>4</v>
      </c>
      <c r="H205" s="21" t="s">
        <v>148</v>
      </c>
    </row>
    <row r="206" spans="2:8" ht="13.8">
      <c r="B206" s="22" t="s">
        <v>272</v>
      </c>
      <c r="C206" s="21" t="s">
        <v>37</v>
      </c>
      <c r="D206" s="50">
        <v>3</v>
      </c>
      <c r="E206" s="24" t="s">
        <v>303</v>
      </c>
      <c r="F206" s="21">
        <v>2</v>
      </c>
      <c r="G206" s="21">
        <v>4</v>
      </c>
      <c r="H206" s="21" t="s">
        <v>148</v>
      </c>
    </row>
    <row r="207" spans="2:8" ht="13.8">
      <c r="B207" s="22" t="s">
        <v>273</v>
      </c>
      <c r="C207" s="21" t="s">
        <v>37</v>
      </c>
      <c r="D207" s="50">
        <v>3</v>
      </c>
      <c r="E207" s="24" t="s">
        <v>303</v>
      </c>
      <c r="F207" s="21">
        <v>2</v>
      </c>
      <c r="G207" s="21">
        <v>4</v>
      </c>
      <c r="H207" s="21" t="s">
        <v>148</v>
      </c>
    </row>
    <row r="208" spans="2:8" ht="13.8">
      <c r="B208" s="22" t="s">
        <v>274</v>
      </c>
      <c r="C208" s="21" t="s">
        <v>37</v>
      </c>
      <c r="D208" s="50">
        <v>3</v>
      </c>
      <c r="E208" s="24" t="s">
        <v>303</v>
      </c>
      <c r="F208" s="21">
        <v>2</v>
      </c>
      <c r="G208" s="21">
        <v>4</v>
      </c>
      <c r="H208" s="21" t="s">
        <v>148</v>
      </c>
    </row>
    <row r="209" spans="2:8" ht="13.8">
      <c r="B209" s="22" t="s">
        <v>275</v>
      </c>
      <c r="C209" s="21" t="s">
        <v>37</v>
      </c>
      <c r="D209" s="50">
        <v>3</v>
      </c>
      <c r="E209" s="24" t="s">
        <v>303</v>
      </c>
      <c r="F209" s="21">
        <v>2</v>
      </c>
      <c r="G209" s="21">
        <v>4</v>
      </c>
      <c r="H209" s="21" t="s">
        <v>148</v>
      </c>
    </row>
    <row r="210" spans="2:8" ht="13.8">
      <c r="B210" s="22" t="s">
        <v>276</v>
      </c>
      <c r="C210" s="21" t="s">
        <v>37</v>
      </c>
      <c r="D210" s="50">
        <v>3</v>
      </c>
      <c r="E210" s="24" t="s">
        <v>303</v>
      </c>
      <c r="F210" s="21">
        <v>2</v>
      </c>
      <c r="G210" s="21">
        <v>4</v>
      </c>
      <c r="H210" s="21" t="s">
        <v>148</v>
      </c>
    </row>
    <row r="211" spans="2:8" ht="13.8">
      <c r="B211" s="22" t="s">
        <v>277</v>
      </c>
      <c r="C211" s="21" t="s">
        <v>37</v>
      </c>
      <c r="D211" s="50">
        <v>3</v>
      </c>
      <c r="E211" s="24" t="s">
        <v>303</v>
      </c>
      <c r="F211" s="21">
        <v>2</v>
      </c>
      <c r="G211" s="21">
        <v>4</v>
      </c>
      <c r="H211" s="21" t="s">
        <v>148</v>
      </c>
    </row>
    <row r="212" spans="2:8" ht="13.8">
      <c r="B212" s="22" t="s">
        <v>278</v>
      </c>
      <c r="C212" s="21" t="s">
        <v>37</v>
      </c>
      <c r="D212" s="50">
        <v>3</v>
      </c>
      <c r="E212" s="24" t="s">
        <v>303</v>
      </c>
      <c r="F212" s="21">
        <v>2</v>
      </c>
      <c r="G212" s="21">
        <v>4</v>
      </c>
      <c r="H212" s="21" t="s">
        <v>148</v>
      </c>
    </row>
    <row r="213" spans="2:8" ht="13.8">
      <c r="B213" s="22" t="s">
        <v>279</v>
      </c>
      <c r="C213" s="21" t="s">
        <v>37</v>
      </c>
      <c r="D213" s="50">
        <v>3</v>
      </c>
      <c r="E213" s="24" t="s">
        <v>303</v>
      </c>
      <c r="F213" s="21">
        <v>2</v>
      </c>
      <c r="G213" s="21">
        <v>4</v>
      </c>
      <c r="H213" s="21" t="s">
        <v>148</v>
      </c>
    </row>
    <row r="214" spans="2:8" ht="13.8">
      <c r="B214" s="22" t="s">
        <v>280</v>
      </c>
      <c r="C214" s="21" t="s">
        <v>37</v>
      </c>
      <c r="D214" s="50">
        <v>3</v>
      </c>
      <c r="E214" s="24" t="s">
        <v>303</v>
      </c>
      <c r="F214" s="21">
        <v>2</v>
      </c>
      <c r="G214" s="21">
        <v>4</v>
      </c>
      <c r="H214" s="21" t="s">
        <v>148</v>
      </c>
    </row>
    <row r="215" spans="2:8" ht="13.8">
      <c r="B215" s="22" t="s">
        <v>281</v>
      </c>
      <c r="C215" s="21" t="s">
        <v>37</v>
      </c>
      <c r="D215" s="50">
        <v>3</v>
      </c>
      <c r="E215" s="24" t="s">
        <v>303</v>
      </c>
      <c r="F215" s="21">
        <v>2</v>
      </c>
      <c r="G215" s="21">
        <v>4</v>
      </c>
      <c r="H215" s="21" t="s">
        <v>148</v>
      </c>
    </row>
    <row r="216" spans="2:8" ht="13.8">
      <c r="B216" s="22" t="s">
        <v>282</v>
      </c>
      <c r="C216" s="21" t="s">
        <v>37</v>
      </c>
      <c r="D216" s="50">
        <v>3</v>
      </c>
      <c r="E216" s="24" t="s">
        <v>303</v>
      </c>
      <c r="F216" s="21">
        <v>2</v>
      </c>
      <c r="G216" s="21">
        <v>4</v>
      </c>
      <c r="H216" s="21" t="s">
        <v>148</v>
      </c>
    </row>
    <row r="217" spans="2:8" ht="13.8">
      <c r="B217" s="22" t="s">
        <v>283</v>
      </c>
      <c r="C217" s="21" t="s">
        <v>37</v>
      </c>
      <c r="D217" s="50">
        <v>3</v>
      </c>
      <c r="E217" s="24" t="s">
        <v>303</v>
      </c>
      <c r="F217" s="21">
        <v>2</v>
      </c>
      <c r="G217" s="21">
        <v>4</v>
      </c>
      <c r="H217" s="21" t="s">
        <v>148</v>
      </c>
    </row>
    <row r="218" spans="2:8" ht="13.8">
      <c r="B218" s="22" t="s">
        <v>284</v>
      </c>
      <c r="C218" s="21" t="s">
        <v>37</v>
      </c>
      <c r="D218" s="50">
        <v>3</v>
      </c>
      <c r="E218" s="24" t="s">
        <v>303</v>
      </c>
      <c r="F218" s="21">
        <v>2</v>
      </c>
      <c r="G218" s="21">
        <v>4</v>
      </c>
      <c r="H218" s="21" t="s">
        <v>148</v>
      </c>
    </row>
    <row r="219" spans="2:8" ht="13.8">
      <c r="B219" s="22" t="s">
        <v>285</v>
      </c>
      <c r="C219" s="21" t="s">
        <v>37</v>
      </c>
      <c r="D219" s="50">
        <v>3</v>
      </c>
      <c r="E219" s="24" t="s">
        <v>303</v>
      </c>
      <c r="F219" s="21">
        <v>2</v>
      </c>
      <c r="G219" s="21">
        <v>4</v>
      </c>
      <c r="H219" s="21" t="s">
        <v>148</v>
      </c>
    </row>
    <row r="220" spans="2:8" ht="13.8">
      <c r="B220" s="22" t="s">
        <v>286</v>
      </c>
      <c r="C220" s="21" t="s">
        <v>37</v>
      </c>
      <c r="D220" s="50">
        <v>3</v>
      </c>
      <c r="E220" s="24" t="s">
        <v>303</v>
      </c>
      <c r="F220" s="21">
        <v>2</v>
      </c>
      <c r="G220" s="21">
        <v>4</v>
      </c>
      <c r="H220" s="21" t="s">
        <v>148</v>
      </c>
    </row>
    <row r="221" spans="2:8" ht="13.8">
      <c r="B221" s="22" t="s">
        <v>287</v>
      </c>
      <c r="C221" s="21" t="s">
        <v>37</v>
      </c>
      <c r="D221" s="50">
        <v>3</v>
      </c>
      <c r="E221" s="24" t="s">
        <v>303</v>
      </c>
      <c r="F221" s="21">
        <v>2</v>
      </c>
      <c r="G221" s="21">
        <v>4</v>
      </c>
      <c r="H221" s="21" t="s">
        <v>148</v>
      </c>
    </row>
    <row r="222" spans="2:8" ht="13.8">
      <c r="B222" s="22" t="s">
        <v>288</v>
      </c>
      <c r="C222" s="21" t="s">
        <v>37</v>
      </c>
      <c r="D222" s="50">
        <v>3</v>
      </c>
      <c r="E222" s="24" t="s">
        <v>303</v>
      </c>
      <c r="F222" s="21">
        <v>2</v>
      </c>
      <c r="G222" s="21">
        <v>4</v>
      </c>
      <c r="H222" s="21" t="s">
        <v>148</v>
      </c>
    </row>
    <row r="223" spans="2:8" ht="13.8">
      <c r="B223" s="22" t="s">
        <v>289</v>
      </c>
      <c r="C223" s="21" t="s">
        <v>37</v>
      </c>
      <c r="D223" s="50">
        <v>3</v>
      </c>
      <c r="E223" s="24" t="s">
        <v>303</v>
      </c>
      <c r="F223" s="21">
        <v>2</v>
      </c>
      <c r="G223" s="21">
        <v>4</v>
      </c>
      <c r="H223" s="21" t="s">
        <v>148</v>
      </c>
    </row>
    <row r="224" spans="2:8" ht="13.8">
      <c r="B224" s="22" t="s">
        <v>290</v>
      </c>
      <c r="C224" s="21" t="s">
        <v>37</v>
      </c>
      <c r="D224" s="50">
        <v>3</v>
      </c>
      <c r="E224" s="24" t="s">
        <v>303</v>
      </c>
      <c r="F224" s="21">
        <v>2</v>
      </c>
      <c r="G224" s="21">
        <v>4</v>
      </c>
      <c r="H224" s="21" t="s">
        <v>148</v>
      </c>
    </row>
    <row r="225" spans="2:8" ht="13.8">
      <c r="B225" s="22" t="s">
        <v>291</v>
      </c>
      <c r="C225" s="21" t="s">
        <v>37</v>
      </c>
      <c r="D225" s="50">
        <v>3</v>
      </c>
      <c r="E225" s="24" t="s">
        <v>303</v>
      </c>
      <c r="F225" s="21">
        <v>2</v>
      </c>
      <c r="G225" s="21">
        <v>4</v>
      </c>
      <c r="H225" s="21" t="s">
        <v>148</v>
      </c>
    </row>
    <row r="226" spans="2:8" ht="13.8">
      <c r="B226" s="22" t="s">
        <v>292</v>
      </c>
      <c r="C226" s="21" t="s">
        <v>38</v>
      </c>
      <c r="D226" s="50">
        <v>3</v>
      </c>
      <c r="E226" s="24" t="s">
        <v>303</v>
      </c>
      <c r="F226" s="21">
        <v>2</v>
      </c>
      <c r="G226" s="21">
        <v>4</v>
      </c>
      <c r="H226" s="21" t="s">
        <v>148</v>
      </c>
    </row>
    <row r="227" spans="2:8" ht="13.8">
      <c r="B227" s="22" t="s">
        <v>293</v>
      </c>
      <c r="C227" s="21" t="s">
        <v>38</v>
      </c>
      <c r="D227" s="50">
        <v>3</v>
      </c>
      <c r="E227" s="24" t="s">
        <v>303</v>
      </c>
      <c r="F227" s="21">
        <v>2</v>
      </c>
      <c r="G227" s="21">
        <v>4</v>
      </c>
      <c r="H227" s="21" t="s">
        <v>148</v>
      </c>
    </row>
    <row r="228" spans="2:8" ht="13.8">
      <c r="B228" s="22" t="s">
        <v>294</v>
      </c>
      <c r="C228" s="21" t="s">
        <v>38</v>
      </c>
      <c r="D228" s="50">
        <v>3</v>
      </c>
      <c r="E228" s="24" t="s">
        <v>303</v>
      </c>
      <c r="F228" s="21">
        <v>2</v>
      </c>
      <c r="G228" s="21">
        <v>4</v>
      </c>
      <c r="H228" s="21" t="s">
        <v>148</v>
      </c>
    </row>
    <row r="229" spans="2:8" ht="13.8">
      <c r="B229" s="22" t="s">
        <v>295</v>
      </c>
      <c r="C229" s="21" t="s">
        <v>38</v>
      </c>
      <c r="D229" s="50">
        <v>3</v>
      </c>
      <c r="E229" s="24" t="s">
        <v>303</v>
      </c>
      <c r="F229" s="21">
        <v>2</v>
      </c>
      <c r="G229" s="21">
        <v>4</v>
      </c>
      <c r="H229" s="21" t="s">
        <v>148</v>
      </c>
    </row>
    <row r="230" spans="2:8" ht="13.8">
      <c r="B230" s="22" t="s">
        <v>296</v>
      </c>
      <c r="C230" s="21" t="s">
        <v>38</v>
      </c>
      <c r="D230" s="50">
        <v>3</v>
      </c>
      <c r="E230" s="24" t="s">
        <v>303</v>
      </c>
      <c r="F230" s="21">
        <v>2</v>
      </c>
      <c r="G230" s="21">
        <v>4</v>
      </c>
      <c r="H230" s="21" t="s">
        <v>148</v>
      </c>
    </row>
    <row r="231" spans="2:8" ht="13.8">
      <c r="B231" s="22" t="s">
        <v>297</v>
      </c>
      <c r="C231" s="21" t="s">
        <v>38</v>
      </c>
      <c r="D231" s="50">
        <v>3</v>
      </c>
      <c r="E231" s="24" t="s">
        <v>303</v>
      </c>
      <c r="F231" s="21">
        <v>2</v>
      </c>
      <c r="G231" s="21">
        <v>4</v>
      </c>
      <c r="H231" s="21" t="s">
        <v>148</v>
      </c>
    </row>
    <row r="232" spans="2:8" ht="13.8">
      <c r="B232" s="22" t="s">
        <v>298</v>
      </c>
      <c r="C232" s="21" t="s">
        <v>38</v>
      </c>
      <c r="D232" s="50">
        <v>3</v>
      </c>
      <c r="E232" s="24" t="s">
        <v>303</v>
      </c>
      <c r="F232" s="21">
        <v>2</v>
      </c>
      <c r="G232" s="21">
        <v>4</v>
      </c>
      <c r="H232" s="21" t="s">
        <v>148</v>
      </c>
    </row>
    <row r="233" spans="2:8" ht="13.8">
      <c r="B233" s="22" t="s">
        <v>299</v>
      </c>
      <c r="C233" s="21" t="s">
        <v>38</v>
      </c>
      <c r="D233" s="50">
        <v>3</v>
      </c>
      <c r="E233" s="24" t="s">
        <v>303</v>
      </c>
      <c r="F233" s="21">
        <v>2</v>
      </c>
      <c r="G233" s="21">
        <v>4</v>
      </c>
      <c r="H233" s="21" t="s">
        <v>148</v>
      </c>
    </row>
    <row r="234" spans="2:8" ht="15.6">
      <c r="B234" s="51" t="s">
        <v>315</v>
      </c>
      <c r="C234" s="21" t="s">
        <v>37</v>
      </c>
      <c r="D234" s="50">
        <v>4</v>
      </c>
      <c r="E234" s="24" t="s">
        <v>303</v>
      </c>
      <c r="F234" s="21">
        <v>3</v>
      </c>
      <c r="G234" s="21">
        <v>5</v>
      </c>
      <c r="H234" s="21" t="s">
        <v>67</v>
      </c>
    </row>
    <row r="235" spans="2:8" ht="15.6">
      <c r="B235" s="51" t="s">
        <v>316</v>
      </c>
      <c r="C235" s="21" t="s">
        <v>37</v>
      </c>
      <c r="D235" s="50">
        <v>4</v>
      </c>
      <c r="E235" s="24" t="s">
        <v>303</v>
      </c>
      <c r="F235" s="21">
        <v>3</v>
      </c>
      <c r="G235" s="21">
        <v>5</v>
      </c>
      <c r="H235" s="21" t="s">
        <v>67</v>
      </c>
    </row>
    <row r="236" spans="2:8" ht="15.6">
      <c r="B236" s="51" t="s">
        <v>317</v>
      </c>
      <c r="C236" s="21" t="s">
        <v>37</v>
      </c>
      <c r="D236" s="50">
        <v>4</v>
      </c>
      <c r="E236" s="24" t="s">
        <v>303</v>
      </c>
      <c r="F236" s="21">
        <v>3</v>
      </c>
      <c r="G236" s="21">
        <v>5</v>
      </c>
      <c r="H236" s="21" t="s">
        <v>67</v>
      </c>
    </row>
    <row r="237" spans="2:8" ht="15.6">
      <c r="B237" s="51" t="s">
        <v>318</v>
      </c>
      <c r="C237" s="21" t="s">
        <v>37</v>
      </c>
      <c r="D237" s="50">
        <v>4</v>
      </c>
      <c r="E237" s="24" t="s">
        <v>303</v>
      </c>
      <c r="F237" s="21">
        <v>3</v>
      </c>
      <c r="G237" s="21">
        <v>5</v>
      </c>
      <c r="H237" s="21" t="s">
        <v>67</v>
      </c>
    </row>
    <row r="238" spans="2:8" ht="15.6">
      <c r="B238" s="51" t="s">
        <v>319</v>
      </c>
      <c r="C238" s="21" t="s">
        <v>37</v>
      </c>
      <c r="D238" s="50">
        <v>4</v>
      </c>
      <c r="E238" s="24" t="s">
        <v>303</v>
      </c>
      <c r="F238" s="21">
        <v>3</v>
      </c>
      <c r="G238" s="21">
        <v>5</v>
      </c>
      <c r="H238" s="21" t="s">
        <v>67</v>
      </c>
    </row>
    <row r="239" spans="2:8" ht="15.6">
      <c r="B239" s="51" t="s">
        <v>320</v>
      </c>
      <c r="C239" s="21" t="s">
        <v>37</v>
      </c>
      <c r="D239" s="50">
        <v>4</v>
      </c>
      <c r="E239" s="24" t="s">
        <v>303</v>
      </c>
      <c r="F239" s="21">
        <v>3</v>
      </c>
      <c r="G239" s="21">
        <v>5</v>
      </c>
      <c r="H239" s="21" t="s">
        <v>67</v>
      </c>
    </row>
    <row r="240" spans="2:8" ht="15.6">
      <c r="B240" s="51" t="s">
        <v>321</v>
      </c>
      <c r="C240" s="21" t="s">
        <v>37</v>
      </c>
      <c r="D240" s="50">
        <v>4</v>
      </c>
      <c r="E240" s="24" t="s">
        <v>303</v>
      </c>
      <c r="F240" s="21">
        <v>3</v>
      </c>
      <c r="G240" s="21">
        <v>5</v>
      </c>
      <c r="H240" s="21" t="s">
        <v>67</v>
      </c>
    </row>
    <row r="241" spans="2:8" ht="15.6">
      <c r="B241" s="51" t="s">
        <v>322</v>
      </c>
      <c r="C241" s="21" t="s">
        <v>37</v>
      </c>
      <c r="D241" s="50">
        <v>4</v>
      </c>
      <c r="E241" s="24" t="s">
        <v>303</v>
      </c>
      <c r="F241" s="21">
        <v>3</v>
      </c>
      <c r="G241" s="21">
        <v>5</v>
      </c>
      <c r="H241" s="21" t="s">
        <v>67</v>
      </c>
    </row>
    <row r="242" spans="2:8" ht="15.6">
      <c r="B242" s="51" t="s">
        <v>323</v>
      </c>
      <c r="C242" s="21" t="s">
        <v>37</v>
      </c>
      <c r="D242" s="50">
        <v>4</v>
      </c>
      <c r="E242" s="24" t="s">
        <v>303</v>
      </c>
      <c r="F242" s="21">
        <v>3</v>
      </c>
      <c r="G242" s="21">
        <v>5</v>
      </c>
      <c r="H242" s="21" t="s">
        <v>67</v>
      </c>
    </row>
    <row r="243" spans="2:8" ht="15.6">
      <c r="B243" s="51" t="s">
        <v>324</v>
      </c>
      <c r="C243" s="21" t="s">
        <v>37</v>
      </c>
      <c r="D243" s="50">
        <v>4</v>
      </c>
      <c r="E243" s="24" t="s">
        <v>303</v>
      </c>
      <c r="F243" s="21">
        <v>3</v>
      </c>
      <c r="G243" s="21">
        <v>5</v>
      </c>
      <c r="H243" s="21" t="s">
        <v>67</v>
      </c>
    </row>
    <row r="244" spans="2:8" ht="15.6">
      <c r="B244" s="51" t="s">
        <v>325</v>
      </c>
      <c r="C244" s="21" t="s">
        <v>37</v>
      </c>
      <c r="D244" s="50">
        <v>4</v>
      </c>
      <c r="E244" s="24" t="s">
        <v>303</v>
      </c>
      <c r="F244" s="21">
        <v>3</v>
      </c>
      <c r="G244" s="21">
        <v>5</v>
      </c>
      <c r="H244" s="21" t="s">
        <v>67</v>
      </c>
    </row>
    <row r="245" spans="2:8" ht="15.6">
      <c r="B245" s="51" t="s">
        <v>326</v>
      </c>
      <c r="C245" s="21" t="s">
        <v>37</v>
      </c>
      <c r="D245" s="50">
        <v>4</v>
      </c>
      <c r="E245" s="24" t="s">
        <v>303</v>
      </c>
      <c r="F245" s="21">
        <v>3</v>
      </c>
      <c r="G245" s="21">
        <v>5</v>
      </c>
      <c r="H245" s="21" t="s">
        <v>67</v>
      </c>
    </row>
    <row r="246" spans="2:8" ht="15.6">
      <c r="B246" s="51" t="s">
        <v>327</v>
      </c>
      <c r="C246" s="21" t="s">
        <v>37</v>
      </c>
      <c r="D246" s="50">
        <v>4</v>
      </c>
      <c r="E246" s="24" t="s">
        <v>303</v>
      </c>
      <c r="F246" s="21">
        <v>3</v>
      </c>
      <c r="G246" s="21">
        <v>5</v>
      </c>
      <c r="H246" s="21" t="s">
        <v>67</v>
      </c>
    </row>
    <row r="247" spans="2:8" ht="15.6">
      <c r="B247" s="51" t="s">
        <v>328</v>
      </c>
      <c r="C247" s="21" t="s">
        <v>37</v>
      </c>
      <c r="D247" s="50">
        <v>4</v>
      </c>
      <c r="E247" s="24" t="s">
        <v>303</v>
      </c>
      <c r="F247" s="21">
        <v>3</v>
      </c>
      <c r="G247" s="21">
        <v>5</v>
      </c>
      <c r="H247" s="21" t="s">
        <v>67</v>
      </c>
    </row>
    <row r="248" spans="2:8" ht="15.6">
      <c r="B248" s="51" t="s">
        <v>329</v>
      </c>
      <c r="C248" s="21" t="s">
        <v>37</v>
      </c>
      <c r="D248" s="50">
        <v>4</v>
      </c>
      <c r="E248" s="24" t="s">
        <v>303</v>
      </c>
      <c r="F248" s="21">
        <v>3</v>
      </c>
      <c r="G248" s="21">
        <v>5</v>
      </c>
      <c r="H248" s="21" t="s">
        <v>67</v>
      </c>
    </row>
    <row r="249" spans="2:8" ht="15.6">
      <c r="B249" s="51" t="s">
        <v>330</v>
      </c>
      <c r="C249" s="21" t="s">
        <v>37</v>
      </c>
      <c r="D249" s="50">
        <v>4</v>
      </c>
      <c r="E249" s="24" t="s">
        <v>303</v>
      </c>
      <c r="F249" s="21">
        <v>3</v>
      </c>
      <c r="G249" s="21">
        <v>5</v>
      </c>
      <c r="H249" s="21" t="s">
        <v>67</v>
      </c>
    </row>
    <row r="250" spans="2:8" ht="15.6">
      <c r="B250" s="51" t="s">
        <v>331</v>
      </c>
      <c r="C250" s="21" t="s">
        <v>37</v>
      </c>
      <c r="D250" s="50">
        <v>4</v>
      </c>
      <c r="E250" s="24" t="s">
        <v>303</v>
      </c>
      <c r="F250" s="21">
        <v>3</v>
      </c>
      <c r="G250" s="21">
        <v>5</v>
      </c>
      <c r="H250" s="21" t="s">
        <v>67</v>
      </c>
    </row>
    <row r="251" spans="2:8" ht="15.6">
      <c r="B251" s="51" t="s">
        <v>332</v>
      </c>
      <c r="C251" s="21" t="s">
        <v>37</v>
      </c>
      <c r="D251" s="50">
        <v>4</v>
      </c>
      <c r="E251" s="24" t="s">
        <v>303</v>
      </c>
      <c r="F251" s="21">
        <v>3</v>
      </c>
      <c r="G251" s="21">
        <v>5</v>
      </c>
      <c r="H251" s="21" t="s">
        <v>67</v>
      </c>
    </row>
    <row r="252" spans="2:8" ht="15.6">
      <c r="B252" s="51" t="s">
        <v>333</v>
      </c>
      <c r="C252" s="21" t="s">
        <v>37</v>
      </c>
      <c r="D252" s="50">
        <v>4</v>
      </c>
      <c r="E252" s="24" t="s">
        <v>303</v>
      </c>
      <c r="F252" s="21">
        <v>3</v>
      </c>
      <c r="G252" s="21">
        <v>5</v>
      </c>
      <c r="H252" s="21" t="s">
        <v>67</v>
      </c>
    </row>
    <row r="253" spans="2:8" ht="15.6">
      <c r="B253" s="54" t="s">
        <v>335</v>
      </c>
      <c r="C253" s="21" t="s">
        <v>37</v>
      </c>
      <c r="D253" s="50">
        <v>4</v>
      </c>
      <c r="E253" s="24" t="s">
        <v>303</v>
      </c>
      <c r="F253" s="21">
        <v>3</v>
      </c>
      <c r="G253" s="21">
        <v>5</v>
      </c>
      <c r="H253" s="21" t="s">
        <v>67</v>
      </c>
    </row>
    <row r="254" spans="2:8" ht="15.6">
      <c r="B254" s="54" t="s">
        <v>336</v>
      </c>
      <c r="C254" s="21" t="s">
        <v>37</v>
      </c>
      <c r="D254" s="50">
        <v>4</v>
      </c>
      <c r="E254" s="24" t="s">
        <v>303</v>
      </c>
      <c r="F254" s="21">
        <v>3</v>
      </c>
      <c r="G254" s="21">
        <v>5</v>
      </c>
      <c r="H254" s="21" t="s">
        <v>67</v>
      </c>
    </row>
    <row r="255" spans="2:8" ht="15.6">
      <c r="B255" s="54" t="s">
        <v>337</v>
      </c>
      <c r="C255" s="21" t="s">
        <v>37</v>
      </c>
      <c r="D255" s="50">
        <v>4</v>
      </c>
      <c r="E255" s="24" t="s">
        <v>303</v>
      </c>
      <c r="F255" s="21">
        <v>3</v>
      </c>
      <c r="G255" s="21">
        <v>5</v>
      </c>
      <c r="H255" s="21" t="s">
        <v>67</v>
      </c>
    </row>
    <row r="256" spans="2:8" ht="15.6">
      <c r="B256" s="54" t="s">
        <v>338</v>
      </c>
      <c r="C256" s="21" t="s">
        <v>37</v>
      </c>
      <c r="D256" s="50">
        <v>4</v>
      </c>
      <c r="E256" s="24" t="s">
        <v>303</v>
      </c>
      <c r="F256" s="21">
        <v>3</v>
      </c>
      <c r="G256" s="21">
        <v>5</v>
      </c>
      <c r="H256" s="21" t="s">
        <v>67</v>
      </c>
    </row>
    <row r="257" spans="2:8" ht="15.6">
      <c r="B257" s="54" t="s">
        <v>339</v>
      </c>
      <c r="C257" s="21" t="s">
        <v>37</v>
      </c>
      <c r="D257" s="50">
        <v>4</v>
      </c>
      <c r="E257" s="24" t="s">
        <v>303</v>
      </c>
      <c r="F257" s="21">
        <v>3</v>
      </c>
      <c r="G257" s="21">
        <v>5</v>
      </c>
      <c r="H257" s="21" t="s">
        <v>67</v>
      </c>
    </row>
    <row r="258" spans="2:8" ht="15.6">
      <c r="B258" s="54" t="s">
        <v>340</v>
      </c>
      <c r="C258" s="21" t="s">
        <v>37</v>
      </c>
      <c r="D258" s="50">
        <v>4</v>
      </c>
      <c r="E258" s="24" t="s">
        <v>303</v>
      </c>
      <c r="F258" s="21">
        <v>3</v>
      </c>
      <c r="G258" s="21">
        <v>5</v>
      </c>
      <c r="H258" s="21" t="s">
        <v>67</v>
      </c>
    </row>
    <row r="259" spans="2:8" ht="15.6">
      <c r="B259" s="54" t="s">
        <v>341</v>
      </c>
      <c r="C259" s="21" t="s">
        <v>37</v>
      </c>
      <c r="D259" s="50">
        <v>4</v>
      </c>
      <c r="E259" s="24" t="s">
        <v>303</v>
      </c>
      <c r="F259" s="21">
        <v>3</v>
      </c>
      <c r="G259" s="21">
        <v>5</v>
      </c>
      <c r="H259" s="21" t="s">
        <v>67</v>
      </c>
    </row>
    <row r="260" spans="2:8" ht="15.6">
      <c r="B260" s="54" t="s">
        <v>342</v>
      </c>
      <c r="C260" s="21" t="s">
        <v>37</v>
      </c>
      <c r="D260" s="50">
        <v>4</v>
      </c>
      <c r="E260" s="24" t="s">
        <v>303</v>
      </c>
      <c r="F260" s="21">
        <v>3</v>
      </c>
      <c r="G260" s="21">
        <v>5</v>
      </c>
      <c r="H260" s="21" t="s">
        <v>67</v>
      </c>
    </row>
    <row r="261" spans="2:8" ht="15.6">
      <c r="B261" s="54" t="s">
        <v>343</v>
      </c>
      <c r="C261" s="21" t="s">
        <v>37</v>
      </c>
      <c r="D261" s="50">
        <v>4</v>
      </c>
      <c r="E261" s="24" t="s">
        <v>303</v>
      </c>
      <c r="F261" s="21">
        <v>3</v>
      </c>
      <c r="G261" s="21">
        <v>5</v>
      </c>
      <c r="H261" s="21" t="s">
        <v>67</v>
      </c>
    </row>
    <row r="262" spans="2:8" ht="15.6">
      <c r="B262" s="54" t="s">
        <v>344</v>
      </c>
      <c r="C262" s="21" t="s">
        <v>37</v>
      </c>
      <c r="D262" s="50">
        <v>4</v>
      </c>
      <c r="E262" s="24" t="s">
        <v>303</v>
      </c>
      <c r="F262" s="21">
        <v>3</v>
      </c>
      <c r="G262" s="21">
        <v>5</v>
      </c>
      <c r="H262" s="21" t="s">
        <v>67</v>
      </c>
    </row>
    <row r="263" spans="2:8" ht="15.6">
      <c r="B263" s="54" t="s">
        <v>345</v>
      </c>
      <c r="C263" s="21" t="s">
        <v>37</v>
      </c>
      <c r="D263" s="50">
        <v>4</v>
      </c>
      <c r="E263" s="24" t="s">
        <v>303</v>
      </c>
      <c r="F263" s="21">
        <v>3</v>
      </c>
      <c r="G263" s="21">
        <v>5</v>
      </c>
      <c r="H263" s="21" t="s">
        <v>67</v>
      </c>
    </row>
    <row r="264" spans="2:8" ht="15.6">
      <c r="B264" s="54" t="s">
        <v>346</v>
      </c>
      <c r="C264" s="21" t="s">
        <v>37</v>
      </c>
      <c r="D264" s="50">
        <v>4</v>
      </c>
      <c r="E264" s="24" t="s">
        <v>303</v>
      </c>
      <c r="F264" s="21">
        <v>3</v>
      </c>
      <c r="G264" s="21">
        <v>5</v>
      </c>
      <c r="H264" s="21" t="s">
        <v>67</v>
      </c>
    </row>
    <row r="265" spans="2:8" ht="15.6">
      <c r="B265" s="54" t="s">
        <v>347</v>
      </c>
      <c r="C265" s="21" t="s">
        <v>37</v>
      </c>
      <c r="D265" s="50">
        <v>4</v>
      </c>
      <c r="E265" s="24" t="s">
        <v>303</v>
      </c>
      <c r="F265" s="21">
        <v>3</v>
      </c>
      <c r="G265" s="21">
        <v>5</v>
      </c>
      <c r="H265" s="21" t="s">
        <v>67</v>
      </c>
    </row>
    <row r="266" spans="2:8" ht="15.6">
      <c r="B266" s="54" t="s">
        <v>348</v>
      </c>
      <c r="C266" s="21" t="s">
        <v>37</v>
      </c>
      <c r="D266" s="50">
        <v>4</v>
      </c>
      <c r="E266" s="24" t="s">
        <v>303</v>
      </c>
      <c r="F266" s="21">
        <v>3</v>
      </c>
      <c r="G266" s="21">
        <v>5</v>
      </c>
      <c r="H266" s="21" t="s">
        <v>67</v>
      </c>
    </row>
    <row r="267" spans="2:8" ht="15.6">
      <c r="B267" s="54" t="s">
        <v>349</v>
      </c>
      <c r="C267" s="21" t="s">
        <v>37</v>
      </c>
      <c r="D267" s="50">
        <v>4</v>
      </c>
      <c r="E267" s="24" t="s">
        <v>303</v>
      </c>
      <c r="F267" s="21">
        <v>3</v>
      </c>
      <c r="G267" s="21">
        <v>5</v>
      </c>
      <c r="H267" s="21" t="s">
        <v>67</v>
      </c>
    </row>
    <row r="268" spans="2:8" ht="15.6">
      <c r="B268" s="54" t="s">
        <v>350</v>
      </c>
      <c r="C268" s="21" t="s">
        <v>37</v>
      </c>
      <c r="D268" s="50">
        <v>4</v>
      </c>
      <c r="E268" s="24" t="s">
        <v>303</v>
      </c>
      <c r="F268" s="21">
        <v>3</v>
      </c>
      <c r="G268" s="21">
        <v>5</v>
      </c>
      <c r="H268" s="21" t="s">
        <v>67</v>
      </c>
    </row>
    <row r="269" spans="2:8" ht="15.6">
      <c r="B269" s="54" t="s">
        <v>351</v>
      </c>
      <c r="C269" s="21" t="s">
        <v>37</v>
      </c>
      <c r="D269" s="50">
        <v>4</v>
      </c>
      <c r="E269" s="24" t="s">
        <v>303</v>
      </c>
      <c r="F269" s="21">
        <v>3</v>
      </c>
      <c r="G269" s="21">
        <v>5</v>
      </c>
      <c r="H269" s="21" t="s">
        <v>67</v>
      </c>
    </row>
    <row r="270" spans="2:8" ht="15.6">
      <c r="B270" s="54" t="s">
        <v>352</v>
      </c>
      <c r="C270" s="21" t="s">
        <v>37</v>
      </c>
      <c r="D270" s="50">
        <v>4</v>
      </c>
      <c r="E270" s="24" t="s">
        <v>303</v>
      </c>
      <c r="F270" s="21">
        <v>3</v>
      </c>
      <c r="G270" s="21">
        <v>5</v>
      </c>
      <c r="H270" s="21" t="s">
        <v>67</v>
      </c>
    </row>
    <row r="271" spans="2:8" ht="15.6">
      <c r="B271" s="54" t="s">
        <v>353</v>
      </c>
      <c r="C271" s="21" t="s">
        <v>37</v>
      </c>
      <c r="D271" s="50">
        <v>4</v>
      </c>
      <c r="E271" s="24" t="s">
        <v>303</v>
      </c>
      <c r="F271" s="21">
        <v>3</v>
      </c>
      <c r="G271" s="21">
        <v>5</v>
      </c>
      <c r="H271" s="21" t="s">
        <v>67</v>
      </c>
    </row>
    <row r="272" spans="2:8" ht="15.6">
      <c r="B272" s="54" t="s">
        <v>354</v>
      </c>
      <c r="C272" s="21" t="s">
        <v>37</v>
      </c>
      <c r="D272" s="50">
        <v>4</v>
      </c>
      <c r="E272" s="24" t="s">
        <v>303</v>
      </c>
      <c r="F272" s="21">
        <v>3</v>
      </c>
      <c r="G272" s="21">
        <v>5</v>
      </c>
      <c r="H272" s="21" t="s">
        <v>67</v>
      </c>
    </row>
    <row r="273" spans="2:8" ht="15.6">
      <c r="B273" s="54" t="s">
        <v>355</v>
      </c>
      <c r="C273" s="21" t="s">
        <v>37</v>
      </c>
      <c r="D273" s="50">
        <v>4</v>
      </c>
      <c r="E273" s="24" t="s">
        <v>303</v>
      </c>
      <c r="F273" s="21">
        <v>3</v>
      </c>
      <c r="G273" s="21">
        <v>5</v>
      </c>
      <c r="H273" s="21" t="s">
        <v>67</v>
      </c>
    </row>
    <row r="274" spans="2:8" ht="15.6">
      <c r="B274" s="54" t="s">
        <v>356</v>
      </c>
      <c r="C274" s="21" t="s">
        <v>37</v>
      </c>
      <c r="D274" s="50">
        <v>4</v>
      </c>
      <c r="E274" s="24" t="s">
        <v>303</v>
      </c>
      <c r="F274" s="21">
        <v>3</v>
      </c>
      <c r="G274" s="21">
        <v>5</v>
      </c>
      <c r="H274" s="21" t="s">
        <v>67</v>
      </c>
    </row>
    <row r="275" spans="2:8" ht="15.6">
      <c r="B275" s="54" t="s">
        <v>357</v>
      </c>
      <c r="C275" s="21" t="s">
        <v>37</v>
      </c>
      <c r="D275" s="50">
        <v>4</v>
      </c>
      <c r="E275" s="24" t="s">
        <v>303</v>
      </c>
      <c r="F275" s="21">
        <v>3</v>
      </c>
      <c r="G275" s="21">
        <v>5</v>
      </c>
      <c r="H275" s="21" t="s">
        <v>67</v>
      </c>
    </row>
    <row r="276" spans="2:8" ht="15.6">
      <c r="B276" s="54" t="s">
        <v>358</v>
      </c>
      <c r="C276" s="21" t="s">
        <v>37</v>
      </c>
      <c r="D276" s="50">
        <v>4</v>
      </c>
      <c r="E276" s="24" t="s">
        <v>303</v>
      </c>
      <c r="F276" s="21">
        <v>3</v>
      </c>
      <c r="G276" s="21">
        <v>5</v>
      </c>
      <c r="H276" s="21" t="s">
        <v>67</v>
      </c>
    </row>
    <row r="277" spans="2:8" ht="15.6">
      <c r="B277" s="54" t="s">
        <v>359</v>
      </c>
      <c r="C277" s="21" t="s">
        <v>37</v>
      </c>
      <c r="D277" s="50">
        <v>4</v>
      </c>
      <c r="E277" s="24" t="s">
        <v>303</v>
      </c>
      <c r="F277" s="21">
        <v>3</v>
      </c>
      <c r="G277" s="21">
        <v>5</v>
      </c>
      <c r="H277" s="21" t="s">
        <v>67</v>
      </c>
    </row>
    <row r="278" spans="2:8" ht="15.6">
      <c r="B278" s="54" t="s">
        <v>360</v>
      </c>
      <c r="C278" s="21" t="s">
        <v>37</v>
      </c>
      <c r="D278" s="50">
        <v>4</v>
      </c>
      <c r="E278" s="24" t="s">
        <v>303</v>
      </c>
      <c r="F278" s="21">
        <v>3</v>
      </c>
      <c r="G278" s="21">
        <v>5</v>
      </c>
      <c r="H278" s="21" t="s">
        <v>67</v>
      </c>
    </row>
    <row r="279" spans="2:8" ht="15.6">
      <c r="B279" s="54" t="s">
        <v>361</v>
      </c>
      <c r="C279" s="21" t="s">
        <v>37</v>
      </c>
      <c r="D279" s="50">
        <v>4</v>
      </c>
      <c r="E279" s="24" t="s">
        <v>303</v>
      </c>
      <c r="F279" s="21">
        <v>3</v>
      </c>
      <c r="G279" s="21">
        <v>5</v>
      </c>
      <c r="H279" s="21" t="s">
        <v>67</v>
      </c>
    </row>
    <row r="280" spans="2:8" ht="15.6">
      <c r="B280" s="54" t="s">
        <v>362</v>
      </c>
      <c r="C280" s="21" t="s">
        <v>37</v>
      </c>
      <c r="D280" s="50">
        <v>4</v>
      </c>
      <c r="E280" s="24" t="s">
        <v>303</v>
      </c>
      <c r="F280" s="21">
        <v>3</v>
      </c>
      <c r="G280" s="21">
        <v>5</v>
      </c>
      <c r="H280" s="21" t="s">
        <v>67</v>
      </c>
    </row>
    <row r="281" spans="2:8" ht="15.6">
      <c r="B281" s="54" t="s">
        <v>363</v>
      </c>
      <c r="C281" s="21" t="s">
        <v>37</v>
      </c>
      <c r="D281" s="50">
        <v>4</v>
      </c>
      <c r="E281" s="24" t="s">
        <v>303</v>
      </c>
      <c r="F281" s="21">
        <v>3</v>
      </c>
      <c r="G281" s="21">
        <v>5</v>
      </c>
      <c r="H281" s="21" t="s">
        <v>67</v>
      </c>
    </row>
    <row r="282" spans="2:8" ht="15.6">
      <c r="B282" s="54" t="s">
        <v>364</v>
      </c>
      <c r="C282" s="21" t="s">
        <v>37</v>
      </c>
      <c r="D282" s="50">
        <v>4</v>
      </c>
      <c r="E282" s="24" t="s">
        <v>303</v>
      </c>
      <c r="F282" s="21">
        <v>3</v>
      </c>
      <c r="G282" s="21">
        <v>5</v>
      </c>
      <c r="H282" s="21" t="s">
        <v>67</v>
      </c>
    </row>
    <row r="283" spans="2:8" ht="15.6">
      <c r="B283" s="54" t="s">
        <v>365</v>
      </c>
      <c r="C283" s="21" t="s">
        <v>37</v>
      </c>
      <c r="D283" s="50">
        <v>4</v>
      </c>
      <c r="E283" s="24" t="s">
        <v>303</v>
      </c>
      <c r="F283" s="21">
        <v>3</v>
      </c>
      <c r="G283" s="21">
        <v>5</v>
      </c>
      <c r="H283" s="21" t="s">
        <v>67</v>
      </c>
    </row>
    <row r="284" spans="2:8" ht="15.6">
      <c r="B284" s="54" t="s">
        <v>366</v>
      </c>
      <c r="C284" s="21" t="s">
        <v>37</v>
      </c>
      <c r="D284" s="50">
        <v>4</v>
      </c>
      <c r="E284" s="24" t="s">
        <v>303</v>
      </c>
      <c r="F284" s="21">
        <v>3</v>
      </c>
      <c r="G284" s="21">
        <v>5</v>
      </c>
      <c r="H284" s="21" t="s">
        <v>67</v>
      </c>
    </row>
    <row r="285" spans="2:8" ht="15.6">
      <c r="B285" s="54" t="s">
        <v>367</v>
      </c>
      <c r="C285" s="21" t="s">
        <v>37</v>
      </c>
      <c r="D285" s="50">
        <v>4</v>
      </c>
      <c r="E285" s="24" t="s">
        <v>303</v>
      </c>
      <c r="F285" s="21">
        <v>3</v>
      </c>
      <c r="G285" s="21">
        <v>5</v>
      </c>
      <c r="H285" s="21" t="s">
        <v>67</v>
      </c>
    </row>
    <row r="286" spans="2:8" ht="15.6">
      <c r="B286" s="54" t="s">
        <v>368</v>
      </c>
      <c r="C286" s="21" t="s">
        <v>37</v>
      </c>
      <c r="D286" s="50">
        <v>4</v>
      </c>
      <c r="E286" s="24" t="s">
        <v>303</v>
      </c>
      <c r="F286" s="21">
        <v>3</v>
      </c>
      <c r="G286" s="21">
        <v>5</v>
      </c>
      <c r="H286" s="21" t="s">
        <v>67</v>
      </c>
    </row>
    <row r="287" spans="2:8" ht="15.6">
      <c r="B287" s="54" t="s">
        <v>369</v>
      </c>
      <c r="C287" s="21" t="s">
        <v>37</v>
      </c>
      <c r="D287" s="50">
        <v>4</v>
      </c>
      <c r="E287" s="24" t="s">
        <v>303</v>
      </c>
      <c r="F287" s="21">
        <v>3</v>
      </c>
      <c r="G287" s="21">
        <v>5</v>
      </c>
      <c r="H287" s="21" t="s">
        <v>67</v>
      </c>
    </row>
    <row r="288" spans="2:8" ht="15.6">
      <c r="B288" s="54" t="s">
        <v>370</v>
      </c>
      <c r="C288" s="21" t="s">
        <v>37</v>
      </c>
      <c r="D288" s="50">
        <v>4</v>
      </c>
      <c r="E288" s="24" t="s">
        <v>303</v>
      </c>
      <c r="F288" s="21">
        <v>3</v>
      </c>
      <c r="G288" s="21">
        <v>5</v>
      </c>
      <c r="H288" s="21" t="s">
        <v>67</v>
      </c>
    </row>
    <row r="289" spans="2:8" ht="15.6">
      <c r="B289" s="54" t="s">
        <v>371</v>
      </c>
      <c r="C289" s="21" t="s">
        <v>37</v>
      </c>
      <c r="D289" s="50">
        <v>4</v>
      </c>
      <c r="E289" s="24" t="s">
        <v>303</v>
      </c>
      <c r="F289" s="21">
        <v>3</v>
      </c>
      <c r="G289" s="21">
        <v>5</v>
      </c>
      <c r="H289" s="21" t="s">
        <v>67</v>
      </c>
    </row>
    <row r="290" spans="2:8" ht="15.6">
      <c r="B290" s="54" t="s">
        <v>372</v>
      </c>
      <c r="C290" s="21" t="s">
        <v>37</v>
      </c>
      <c r="D290" s="50">
        <v>4</v>
      </c>
      <c r="E290" s="24" t="s">
        <v>303</v>
      </c>
      <c r="F290" s="21">
        <v>3</v>
      </c>
      <c r="G290" s="21">
        <v>5</v>
      </c>
      <c r="H290" s="21" t="s">
        <v>67</v>
      </c>
    </row>
    <row r="291" spans="2:8" ht="15.6">
      <c r="B291" s="54" t="s">
        <v>373</v>
      </c>
      <c r="C291" s="21" t="s">
        <v>37</v>
      </c>
      <c r="D291" s="50">
        <v>4</v>
      </c>
      <c r="E291" s="24" t="s">
        <v>303</v>
      </c>
      <c r="F291" s="21">
        <v>3</v>
      </c>
      <c r="G291" s="21">
        <v>5</v>
      </c>
      <c r="H291" s="21" t="s">
        <v>67</v>
      </c>
    </row>
    <row r="292" spans="2:8" ht="15.6">
      <c r="B292" s="54" t="s">
        <v>374</v>
      </c>
      <c r="C292" s="21" t="s">
        <v>37</v>
      </c>
      <c r="D292" s="50">
        <v>4</v>
      </c>
      <c r="E292" s="24" t="s">
        <v>303</v>
      </c>
      <c r="F292" s="21">
        <v>3</v>
      </c>
      <c r="G292" s="21">
        <v>5</v>
      </c>
      <c r="H292" s="21" t="s">
        <v>67</v>
      </c>
    </row>
  </sheetData>
  <autoFilter ref="B2:E233" xr:uid="{00000000-0009-0000-0000-000005000000}"/>
  <phoneticPr fontId="15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6</vt:i4>
      </vt:variant>
      <vt:variant>
        <vt:lpstr>이름 지정된 범위</vt:lpstr>
      </vt:variant>
      <vt:variant>
        <vt:i4>4</vt:i4>
      </vt:variant>
    </vt:vector>
  </HeadingPairs>
  <TitlesOfParts>
    <vt:vector size="10" baseType="lpstr">
      <vt:lpstr>2026 전학년</vt:lpstr>
      <vt:lpstr>2026 입학생 3개년(1학년)</vt:lpstr>
      <vt:lpstr>2026 입학생 3개년 변경후(1학년)</vt:lpstr>
      <vt:lpstr>2025 입학생 3개년(2학년)</vt:lpstr>
      <vt:lpstr>2024 입학생 3개년(3학년)</vt:lpstr>
      <vt:lpstr>숨김</vt:lpstr>
      <vt:lpstr>'2024 입학생 3개년(3학년)'!Print_Area</vt:lpstr>
      <vt:lpstr>'2025 입학생 3개년(2학년)'!Print_Area</vt:lpstr>
      <vt:lpstr>'2026 입학생 3개년(1학년)'!Print_Area</vt:lpstr>
      <vt:lpstr>'2026 전학년'!Print_Area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user</cp:lastModifiedBy>
  <cp:lastPrinted>2026-05-08T00:10:13Z</cp:lastPrinted>
  <dcterms:created xsi:type="dcterms:W3CDTF">2024-04-04T06:57:53Z</dcterms:created>
  <dcterms:modified xsi:type="dcterms:W3CDTF">2026-05-08T00:17:55Z</dcterms:modified>
</cp:coreProperties>
</file>